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ee\microvibe\microvibe\microvibe-dbv\"/>
    </mc:Choice>
  </mc:AlternateContent>
  <bookViews>
    <workbookView xWindow="240" yWindow="105" windowWidth="14805" windowHeight="8010" tabRatio="692" firstSheet="1" activeTab="1"/>
  </bookViews>
  <sheets>
    <sheet name="变更记录" sheetId="2" r:id="rId1"/>
    <sheet name="目录" sheetId="1" r:id="rId2"/>
    <sheet name="模板" sheetId="32" r:id="rId3"/>
    <sheet name="基准收益率表" sheetId="38" state="hidden" r:id="rId4"/>
    <sheet name="关注组合收益率表" sheetId="39" state="hidden" r:id="rId5"/>
    <sheet name="belong_system_info" sheetId="40" r:id="rId6"/>
    <sheet name="belong_system_info_copy" sheetId="41" r:id="rId7"/>
    <sheet name="calendar" sheetId="42" r:id="rId8"/>
    <sheet name="maintain_icon" sheetId="43" r:id="rId9"/>
    <sheet name="maintain_map" sheetId="44" r:id="rId10"/>
    <sheet name="maintain_notification_data" sheetId="45" r:id="rId11"/>
    <sheet name="maintain_notification_template" sheetId="46" r:id="rId12"/>
    <sheet name="maintain_task_definition" sheetId="47" r:id="rId13"/>
    <sheet name="news_ad" sheetId="48" r:id="rId14"/>
    <sheet name="news_class" sheetId="49" r:id="rId15"/>
    <sheet name="news_comment" sheetId="50" r:id="rId16"/>
    <sheet name="news_image" sheetId="51" r:id="rId17"/>
    <sheet name="news_info" sheetId="52" r:id="rId18"/>
    <sheet name="news_link" sheetId="53" r:id="rId19"/>
    <sheet name="news_slide" sheetId="54" r:id="rId20"/>
    <sheet name="notice_config" sheetId="55" r:id="rId21"/>
    <sheet name="notice_queue" sheetId="56" r:id="rId22"/>
    <sheet name="personal_calendar" sheetId="57" r:id="rId23"/>
    <sheet name="personal_message" sheetId="58" r:id="rId24"/>
    <sheet name="personal_message_content" sheetId="59" r:id="rId25"/>
    <sheet name="sys_auth" sheetId="60" r:id="rId26"/>
    <sheet name="sys_dict" sheetId="61" r:id="rId27"/>
    <sheet name="sys_dict_cftronoc" sheetId="62" r:id="rId28"/>
    <sheet name="sys_dict_cocl" sheetId="63" r:id="rId29"/>
    <sheet name="sys_dict_parent" sheetId="64" r:id="rId30"/>
    <sheet name="sys_dict_region" sheetId="65" r:id="rId31"/>
    <sheet name="sys_dict_trade" sheetId="66" r:id="rId32"/>
    <sheet name="sys_events_class" sheetId="67" r:id="rId33"/>
    <sheet name="sys_feedback" sheetId="68" r:id="rId34"/>
    <sheet name="sys_group" sheetId="69" r:id="rId35"/>
    <sheet name="sys_group_relation" sheetId="70" r:id="rId36"/>
    <sheet name="sys_job" sheetId="71" r:id="rId37"/>
    <sheet name="sys_logs" sheetId="72" r:id="rId38"/>
    <sheet name="sys_organization" sheetId="73" r:id="rId39"/>
    <sheet name="sys_permission" sheetId="74" r:id="rId40"/>
    <sheet name="sys_resource" sheetId="75" r:id="rId41"/>
    <sheet name="sys_role" sheetId="76" r:id="rId42"/>
    <sheet name="sys_role_resource_permission" sheetId="77" r:id="rId43"/>
    <sheet name="sys_settings" sheetId="78" r:id="rId44"/>
    <sheet name="sys_urgent_message" sheetId="79" r:id="rId45"/>
    <sheet name="sys_user" sheetId="80" r:id="rId46"/>
    <sheet name="sys_user_last_online" sheetId="81" r:id="rId47"/>
    <sheet name="sys_user_online" sheetId="82" r:id="rId48"/>
    <sheet name="sys_user_organization_job" sheetId="83" r:id="rId49"/>
    <sheet name="sys_user_status_history" sheetId="84" r:id="rId50"/>
    <sheet name="vt_activity" sheetId="85" r:id="rId51"/>
    <sheet name="vt_activity_coll" sheetId="86" r:id="rId52"/>
    <sheet name="vt_activity_comment" sheetId="87" r:id="rId53"/>
    <sheet name="vt_activity_files" sheetId="88" r:id="rId54"/>
    <sheet name="vt_activity_info" sheetId="89" r:id="rId55"/>
    <sheet name="vt_activity_manage" sheetId="90" r:id="rId56"/>
    <sheet name="vt_activity_maps" sheetId="91" r:id="rId57"/>
    <sheet name="vt_activity_rate" sheetId="92" r:id="rId58"/>
    <sheet name="vt_activity_record" sheetId="93" r:id="rId59"/>
    <sheet name="vt_activity_report" sheetId="94" r:id="rId60"/>
    <sheet name="vt_activity_sign" sheetId="95" r:id="rId61"/>
    <sheet name="vt_activity_signup" sheetId="96" r:id="rId62"/>
    <sheet name="vt_activity_sign_address" sheetId="97" r:id="rId63"/>
    <sheet name="vt_activity_template" sheetId="98" r:id="rId64"/>
    <sheet name="vt_certificate" sheetId="99" r:id="rId65"/>
    <sheet name="vt_check" sheetId="100" r:id="rId66"/>
    <sheet name="vt_commend" sheetId="101" r:id="rId67"/>
    <sheet name="vt_commonweal_project" sheetId="102" r:id="rId68"/>
    <sheet name="vt_complain" sheetId="103" r:id="rId69"/>
    <sheet name="vt_count" sheetId="104" r:id="rId70"/>
    <sheet name="vt_donor_attest" sheetId="105" r:id="rId71"/>
    <sheet name="vt_donor_class" sheetId="106" r:id="rId72"/>
    <sheet name="vt_donor_department" sheetId="107" r:id="rId73"/>
    <sheet name="vt_donor_item" sheetId="108" r:id="rId74"/>
    <sheet name="vt_donor_join" sheetId="109" r:id="rId75"/>
    <sheet name="vt_donor_record" sheetId="110" r:id="rId76"/>
    <sheet name="vt_donor_record_files" sheetId="111" r:id="rId77"/>
    <sheet name="vt_donor_report" sheetId="112" r:id="rId78"/>
    <sheet name="vt_files" sheetId="113" r:id="rId79"/>
    <sheet name="vt_general_comment" sheetId="114" r:id="rId80"/>
    <sheet name="vt_general_voice" sheetId="115" r:id="rId81"/>
    <sheet name="vt_organ" sheetId="116" r:id="rId82"/>
    <sheet name="vt_organ1" sheetId="117" r:id="rId83"/>
    <sheet name="vt_organ_invite" sheetId="118" r:id="rId84"/>
    <sheet name="vt_organ_join" sheetId="119" r:id="rId85"/>
    <sheet name="vt_organ_manage" sheetId="120" r:id="rId86"/>
    <sheet name="vt_pay_log" sheetId="121" r:id="rId87"/>
    <sheet name="vt_project" sheetId="122" r:id="rId88"/>
    <sheet name="vt_project_trends" sheetId="123" r:id="rId89"/>
    <sheet name="vt_questions" sheetId="124" r:id="rId90"/>
    <sheet name="vt_question_logs" sheetId="125" r:id="rId91"/>
    <sheet name="vt_question_option" sheetId="126" r:id="rId92"/>
    <sheet name="vt_rank" sheetId="127" r:id="rId93"/>
    <sheet name="vt_rating_logs" sheetId="128" r:id="rId94"/>
    <sheet name="vt_servicehour" sheetId="129" r:id="rId95"/>
    <sheet name="vt_service_need" sheetId="130" r:id="rId96"/>
    <sheet name="vt_train" sheetId="131" r:id="rId97"/>
    <sheet name="vt_training" sheetId="132" r:id="rId98"/>
    <sheet name="vt_train_join" sheetId="133" r:id="rId99"/>
    <sheet name="vt_train_questions" sheetId="134" r:id="rId100"/>
    <sheet name="vt_train_servicehour" sheetId="135" r:id="rId101"/>
    <sheet name="vt_train_slide" sheetId="136" r:id="rId102"/>
    <sheet name="vt_upvote" sheetId="137" r:id="rId103"/>
    <sheet name="vt_upvote_user" sheetId="138" r:id="rId104"/>
    <sheet name="vt_user_commend" sheetId="139" r:id="rId105"/>
    <sheet name="vt_user_friend" sheetId="140" r:id="rId106"/>
    <sheet name="vt_user_message" sheetId="141" r:id="rId107"/>
    <sheet name="vt_user_news" sheetId="142" r:id="rId108"/>
    <sheet name="vt_user_notice" sheetId="143" r:id="rId109"/>
    <sheet name="vt_user_notice_read" sheetId="144" r:id="rId110"/>
    <sheet name="vt_user_training" sheetId="145" r:id="rId111"/>
    <sheet name="vt_volunteer" sheetId="146" r:id="rId112"/>
    <sheet name="vt_volunteer_change" sheetId="147" r:id="rId113"/>
    <sheet name="vt_volunteer_no" sheetId="148" r:id="rId114"/>
    <sheet name="vt_volunteer_user" sheetId="149" r:id="rId115"/>
    <sheet name="vt_vote_detail" sheetId="150" r:id="rId116"/>
    <sheet name="vt_vote_list" sheetId="151" r:id="rId117"/>
    <sheet name="vt_vote_subject" sheetId="152" r:id="rId118"/>
    <sheet name="vt_wanted" sheetId="153" r:id="rId119"/>
    <sheet name="wx_auto_reply" sheetId="154" r:id="rId120"/>
    <sheet name="wx_auto_reply_content" sheetId="155" r:id="rId121"/>
    <sheet name="wx_config" sheetId="156" r:id="rId122"/>
    <sheet name="wx_menu" sheetId="157" r:id="rId123"/>
  </sheets>
  <calcPr calcId="162913"/>
</workbook>
</file>

<file path=xl/calcChain.xml><?xml version="1.0" encoding="utf-8"?>
<calcChain xmlns="http://schemas.openxmlformats.org/spreadsheetml/2006/main">
  <c r="A1" i="32" l="1"/>
  <c r="C1" i="32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2" i="1"/>
  <c r="A35" i="1" l="1"/>
  <c r="A36" i="1"/>
  <c r="A37" i="1"/>
  <c r="A38" i="1"/>
  <c r="A39" i="1"/>
  <c r="A40" i="1"/>
  <c r="A41" i="1"/>
  <c r="A29" i="1" l="1"/>
  <c r="A34" i="1" l="1"/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33" i="1" l="1"/>
  <c r="A32" i="1" l="1"/>
  <c r="A31" i="1"/>
  <c r="A11" i="32" l="1"/>
  <c r="C1" i="39"/>
  <c r="C1" i="38"/>
  <c r="A12" i="38" l="1"/>
  <c r="A26" i="1" l="1"/>
  <c r="A25" i="1"/>
  <c r="A24" i="1"/>
  <c r="A23" i="1"/>
  <c r="A27" i="1"/>
  <c r="A28" i="1"/>
  <c r="A30" i="1"/>
  <c r="A1" i="2"/>
  <c r="A8" i="1" l="1"/>
  <c r="A1" i="39" l="1"/>
  <c r="A8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30" i="39"/>
  <c r="A31" i="39"/>
  <c r="A32" i="39"/>
  <c r="A33" i="39"/>
  <c r="A34" i="39"/>
  <c r="A35" i="39"/>
  <c r="A36" i="39"/>
  <c r="A6" i="1" l="1"/>
  <c r="A10" i="32" l="1"/>
  <c r="A12" i="32"/>
  <c r="A36" i="38" l="1"/>
  <c r="A35" i="38"/>
  <c r="A34" i="38"/>
  <c r="A33" i="38"/>
  <c r="A32" i="38"/>
  <c r="A31" i="38"/>
  <c r="A30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1" i="38"/>
  <c r="A10" i="38"/>
  <c r="A8" i="38"/>
  <c r="A1" i="38"/>
  <c r="A21" i="32" l="1"/>
  <c r="A20" i="32"/>
  <c r="A19" i="32"/>
  <c r="A18" i="32"/>
  <c r="A17" i="32"/>
  <c r="A9" i="32"/>
  <c r="A8" i="32"/>
  <c r="A42" i="1" l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2" i="1" l="1"/>
  <c r="A3" i="1"/>
  <c r="A4" i="1"/>
  <c r="A5" i="1"/>
  <c r="A7" i="1"/>
  <c r="A21" i="157"/>
  <c r="A16" i="157"/>
  <c r="A15" i="157"/>
  <c r="A14" i="157"/>
  <c r="A13" i="157"/>
  <c r="A12" i="157"/>
  <c r="A11" i="157"/>
  <c r="A10" i="157"/>
  <c r="A9" i="157"/>
  <c r="A8" i="157"/>
  <c r="C1" i="157"/>
  <c r="A1" i="157"/>
  <c r="A27" i="156"/>
  <c r="A22" i="156"/>
  <c r="A21" i="156"/>
  <c r="A20" i="156"/>
  <c r="A19" i="156"/>
  <c r="A18" i="156"/>
  <c r="A17" i="156"/>
  <c r="A16" i="156"/>
  <c r="A15" i="156"/>
  <c r="A14" i="156"/>
  <c r="A13" i="156"/>
  <c r="A12" i="156"/>
  <c r="A11" i="156"/>
  <c r="A10" i="156"/>
  <c r="A9" i="156"/>
  <c r="A8" i="156"/>
  <c r="C1" i="156"/>
  <c r="A1" i="156"/>
  <c r="A21" i="155"/>
  <c r="A16" i="155"/>
  <c r="A15" i="155"/>
  <c r="A14" i="155"/>
  <c r="A13" i="155"/>
  <c r="A12" i="155"/>
  <c r="A11" i="155"/>
  <c r="A10" i="155"/>
  <c r="A9" i="155"/>
  <c r="A8" i="155"/>
  <c r="C1" i="155"/>
  <c r="A1" i="155"/>
  <c r="A22" i="154"/>
  <c r="A17" i="154"/>
  <c r="A16" i="154"/>
  <c r="A15" i="154"/>
  <c r="A14" i="154"/>
  <c r="A13" i="154"/>
  <c r="A12" i="154"/>
  <c r="A11" i="154"/>
  <c r="A10" i="154"/>
  <c r="A9" i="154"/>
  <c r="A8" i="154"/>
  <c r="C1" i="154"/>
  <c r="A1" i="154"/>
  <c r="A22" i="153"/>
  <c r="A17" i="153"/>
  <c r="A16" i="153"/>
  <c r="A15" i="153"/>
  <c r="A14" i="153"/>
  <c r="A13" i="153"/>
  <c r="A12" i="153"/>
  <c r="A11" i="153"/>
  <c r="A10" i="153"/>
  <c r="A9" i="153"/>
  <c r="A8" i="153"/>
  <c r="C1" i="153"/>
  <c r="A1" i="153"/>
  <c r="A24" i="152"/>
  <c r="A19" i="152"/>
  <c r="A18" i="152"/>
  <c r="A17" i="152"/>
  <c r="A16" i="152"/>
  <c r="A15" i="152"/>
  <c r="A14" i="152"/>
  <c r="A13" i="152"/>
  <c r="A12" i="152"/>
  <c r="A11" i="152"/>
  <c r="A10" i="152"/>
  <c r="A9" i="152"/>
  <c r="A8" i="152"/>
  <c r="C1" i="152"/>
  <c r="A1" i="152"/>
  <c r="A24" i="151"/>
  <c r="A19" i="151"/>
  <c r="A18" i="151"/>
  <c r="A17" i="151"/>
  <c r="A16" i="151"/>
  <c r="A15" i="151"/>
  <c r="A14" i="151"/>
  <c r="A13" i="151"/>
  <c r="A12" i="151"/>
  <c r="A11" i="151"/>
  <c r="A10" i="151"/>
  <c r="A9" i="151"/>
  <c r="A8" i="151"/>
  <c r="C1" i="151"/>
  <c r="A1" i="151"/>
  <c r="A19" i="150"/>
  <c r="A14" i="150"/>
  <c r="A13" i="150"/>
  <c r="A12" i="150"/>
  <c r="A11" i="150"/>
  <c r="A10" i="150"/>
  <c r="A9" i="150"/>
  <c r="A8" i="150"/>
  <c r="C1" i="150"/>
  <c r="A1" i="150"/>
  <c r="A45" i="149"/>
  <c r="A44" i="149"/>
  <c r="A43" i="149"/>
  <c r="A42" i="149"/>
  <c r="A37" i="149"/>
  <c r="A36" i="149"/>
  <c r="A35" i="149"/>
  <c r="A34" i="149"/>
  <c r="A33" i="149"/>
  <c r="A32" i="149"/>
  <c r="A31" i="149"/>
  <c r="A30" i="149"/>
  <c r="A29" i="149"/>
  <c r="A28" i="149"/>
  <c r="A27" i="149"/>
  <c r="A26" i="149"/>
  <c r="A25" i="149"/>
  <c r="A24" i="149"/>
  <c r="A23" i="149"/>
  <c r="A22" i="149"/>
  <c r="A21" i="149"/>
  <c r="A20" i="149"/>
  <c r="A19" i="149"/>
  <c r="A18" i="149"/>
  <c r="A17" i="149"/>
  <c r="A16" i="149"/>
  <c r="A15" i="149"/>
  <c r="A14" i="149"/>
  <c r="A13" i="149"/>
  <c r="A12" i="149"/>
  <c r="A11" i="149"/>
  <c r="A10" i="149"/>
  <c r="A9" i="149"/>
  <c r="A8" i="149"/>
  <c r="C1" i="149"/>
  <c r="A1" i="149"/>
  <c r="A15" i="148"/>
  <c r="A10" i="148"/>
  <c r="A9" i="148"/>
  <c r="A8" i="148"/>
  <c r="C1" i="148"/>
  <c r="A1" i="148"/>
  <c r="A18" i="147"/>
  <c r="A13" i="147"/>
  <c r="A12" i="147"/>
  <c r="A11" i="147"/>
  <c r="A10" i="147"/>
  <c r="A9" i="147"/>
  <c r="A8" i="147"/>
  <c r="C1" i="147"/>
  <c r="A1" i="147"/>
  <c r="A58" i="146"/>
  <c r="A57" i="146"/>
  <c r="A52" i="146"/>
  <c r="A51" i="146"/>
  <c r="A50" i="146"/>
  <c r="A49" i="146"/>
  <c r="A48" i="146"/>
  <c r="A47" i="146"/>
  <c r="A46" i="146"/>
  <c r="A45" i="146"/>
  <c r="A44" i="146"/>
  <c r="A43" i="146"/>
  <c r="A42" i="146"/>
  <c r="A41" i="146"/>
  <c r="A40" i="146"/>
  <c r="A39" i="146"/>
  <c r="A38" i="146"/>
  <c r="A37" i="146"/>
  <c r="A36" i="146"/>
  <c r="A35" i="146"/>
  <c r="A34" i="146"/>
  <c r="A33" i="146"/>
  <c r="A32" i="146"/>
  <c r="A31" i="146"/>
  <c r="A30" i="146"/>
  <c r="A29" i="146"/>
  <c r="A28" i="146"/>
  <c r="A27" i="146"/>
  <c r="A26" i="146"/>
  <c r="A25" i="146"/>
  <c r="A24" i="146"/>
  <c r="A23" i="146"/>
  <c r="A22" i="146"/>
  <c r="A21" i="146"/>
  <c r="A20" i="146"/>
  <c r="A19" i="146"/>
  <c r="A18" i="146"/>
  <c r="A17" i="146"/>
  <c r="A16" i="146"/>
  <c r="A15" i="146"/>
  <c r="A14" i="146"/>
  <c r="A13" i="146"/>
  <c r="A12" i="146"/>
  <c r="A11" i="146"/>
  <c r="A10" i="146"/>
  <c r="A9" i="146"/>
  <c r="A8" i="146"/>
  <c r="C1" i="146"/>
  <c r="A1" i="146"/>
  <c r="A16" i="145"/>
  <c r="A11" i="145"/>
  <c r="A10" i="145"/>
  <c r="A9" i="145"/>
  <c r="A8" i="145"/>
  <c r="C1" i="145"/>
  <c r="A1" i="145"/>
  <c r="A19" i="144"/>
  <c r="A14" i="144"/>
  <c r="A13" i="144"/>
  <c r="A12" i="144"/>
  <c r="A11" i="144"/>
  <c r="A10" i="144"/>
  <c r="A9" i="144"/>
  <c r="A8" i="144"/>
  <c r="C1" i="144"/>
  <c r="A1" i="144"/>
  <c r="A18" i="143"/>
  <c r="A13" i="143"/>
  <c r="A12" i="143"/>
  <c r="A11" i="143"/>
  <c r="A10" i="143"/>
  <c r="A9" i="143"/>
  <c r="A8" i="143"/>
  <c r="C1" i="143"/>
  <c r="A1" i="143"/>
  <c r="A20" i="142"/>
  <c r="A15" i="142"/>
  <c r="A14" i="142"/>
  <c r="A13" i="142"/>
  <c r="A12" i="142"/>
  <c r="A11" i="142"/>
  <c r="A10" i="142"/>
  <c r="A9" i="142"/>
  <c r="A8" i="142"/>
  <c r="C1" i="142"/>
  <c r="A1" i="142"/>
  <c r="A19" i="141"/>
  <c r="A14" i="141"/>
  <c r="A13" i="141"/>
  <c r="A12" i="141"/>
  <c r="A11" i="141"/>
  <c r="A10" i="141"/>
  <c r="A9" i="141"/>
  <c r="A8" i="141"/>
  <c r="C1" i="141"/>
  <c r="A1" i="141"/>
  <c r="A17" i="140"/>
  <c r="A12" i="140"/>
  <c r="A11" i="140"/>
  <c r="A10" i="140"/>
  <c r="A9" i="140"/>
  <c r="A8" i="140"/>
  <c r="C1" i="140"/>
  <c r="A1" i="140"/>
  <c r="A16" i="139"/>
  <c r="A11" i="139"/>
  <c r="A10" i="139"/>
  <c r="A9" i="139"/>
  <c r="A8" i="139"/>
  <c r="C1" i="139"/>
  <c r="A1" i="139"/>
  <c r="A19" i="138"/>
  <c r="A14" i="138"/>
  <c r="A13" i="138"/>
  <c r="A12" i="138"/>
  <c r="A11" i="138"/>
  <c r="A10" i="138"/>
  <c r="A9" i="138"/>
  <c r="A8" i="138"/>
  <c r="C1" i="138"/>
  <c r="A1" i="138"/>
  <c r="A16" i="137"/>
  <c r="A11" i="137"/>
  <c r="A10" i="137"/>
  <c r="A9" i="137"/>
  <c r="A8" i="137"/>
  <c r="C1" i="137"/>
  <c r="A1" i="137"/>
  <c r="A21" i="136"/>
  <c r="A16" i="136"/>
  <c r="A15" i="136"/>
  <c r="A14" i="136"/>
  <c r="A13" i="136"/>
  <c r="A12" i="136"/>
  <c r="A11" i="136"/>
  <c r="A10" i="136"/>
  <c r="A9" i="136"/>
  <c r="A8" i="136"/>
  <c r="C1" i="136"/>
  <c r="A1" i="136"/>
  <c r="A17" i="135"/>
  <c r="A12" i="135"/>
  <c r="A11" i="135"/>
  <c r="A10" i="135"/>
  <c r="A9" i="135"/>
  <c r="A8" i="135"/>
  <c r="C1" i="135"/>
  <c r="A1" i="135"/>
  <c r="A16" i="134"/>
  <c r="A11" i="134"/>
  <c r="A10" i="134"/>
  <c r="A9" i="134"/>
  <c r="A8" i="134"/>
  <c r="C1" i="134"/>
  <c r="A1" i="134"/>
  <c r="A20" i="133"/>
  <c r="A15" i="133"/>
  <c r="A14" i="133"/>
  <c r="A13" i="133"/>
  <c r="A12" i="133"/>
  <c r="A11" i="133"/>
  <c r="A10" i="133"/>
  <c r="A9" i="133"/>
  <c r="A8" i="133"/>
  <c r="C1" i="133"/>
  <c r="A1" i="133"/>
  <c r="A35" i="132"/>
  <c r="A30" i="132"/>
  <c r="A29" i="132"/>
  <c r="A28" i="132"/>
  <c r="A27" i="132"/>
  <c r="A26" i="132"/>
  <c r="A25" i="132"/>
  <c r="A24" i="132"/>
  <c r="A23" i="132"/>
  <c r="A22" i="132"/>
  <c r="A21" i="132"/>
  <c r="A20" i="132"/>
  <c r="A19" i="132"/>
  <c r="A18" i="132"/>
  <c r="A17" i="132"/>
  <c r="A16" i="132"/>
  <c r="A15" i="132"/>
  <c r="A14" i="132"/>
  <c r="A13" i="132"/>
  <c r="A12" i="132"/>
  <c r="A11" i="132"/>
  <c r="A10" i="132"/>
  <c r="A9" i="132"/>
  <c r="A8" i="132"/>
  <c r="C1" i="132"/>
  <c r="A1" i="132"/>
  <c r="A26" i="131"/>
  <c r="A21" i="131"/>
  <c r="A20" i="131"/>
  <c r="A19" i="131"/>
  <c r="A18" i="131"/>
  <c r="A17" i="131"/>
  <c r="A16" i="131"/>
  <c r="A15" i="131"/>
  <c r="A14" i="131"/>
  <c r="A13" i="131"/>
  <c r="A12" i="131"/>
  <c r="A11" i="131"/>
  <c r="A10" i="131"/>
  <c r="A9" i="131"/>
  <c r="A8" i="131"/>
  <c r="C1" i="131"/>
  <c r="A1" i="131"/>
  <c r="A20" i="130"/>
  <c r="A15" i="130"/>
  <c r="A14" i="130"/>
  <c r="A13" i="130"/>
  <c r="A12" i="130"/>
  <c r="A11" i="130"/>
  <c r="A10" i="130"/>
  <c r="A9" i="130"/>
  <c r="A8" i="130"/>
  <c r="C1" i="130"/>
  <c r="A1" i="130"/>
  <c r="A27" i="129"/>
  <c r="A22" i="129"/>
  <c r="A21" i="129"/>
  <c r="A20" i="129"/>
  <c r="A19" i="129"/>
  <c r="A18" i="129"/>
  <c r="A17" i="129"/>
  <c r="A16" i="129"/>
  <c r="A15" i="129"/>
  <c r="A14" i="129"/>
  <c r="A13" i="129"/>
  <c r="A12" i="129"/>
  <c r="A11" i="129"/>
  <c r="A10" i="129"/>
  <c r="A9" i="129"/>
  <c r="A8" i="129"/>
  <c r="C1" i="129"/>
  <c r="A1" i="129"/>
  <c r="A19" i="128"/>
  <c r="A14" i="128"/>
  <c r="A13" i="128"/>
  <c r="A12" i="128"/>
  <c r="A11" i="128"/>
  <c r="A10" i="128"/>
  <c r="A9" i="128"/>
  <c r="A8" i="128"/>
  <c r="C1" i="128"/>
  <c r="A1" i="128"/>
  <c r="A31" i="127"/>
  <c r="A26" i="127"/>
  <c r="A25" i="127"/>
  <c r="A24" i="127"/>
  <c r="A23" i="127"/>
  <c r="A22" i="127"/>
  <c r="A21" i="127"/>
  <c r="A20" i="127"/>
  <c r="A19" i="127"/>
  <c r="A18" i="127"/>
  <c r="A17" i="127"/>
  <c r="A16" i="127"/>
  <c r="A15" i="127"/>
  <c r="A14" i="127"/>
  <c r="A13" i="127"/>
  <c r="A12" i="127"/>
  <c r="A11" i="127"/>
  <c r="A10" i="127"/>
  <c r="A9" i="127"/>
  <c r="A8" i="127"/>
  <c r="C1" i="127"/>
  <c r="A1" i="127"/>
  <c r="A19" i="126"/>
  <c r="A18" i="126"/>
  <c r="A13" i="126"/>
  <c r="A12" i="126"/>
  <c r="A11" i="126"/>
  <c r="A10" i="126"/>
  <c r="A9" i="126"/>
  <c r="A8" i="126"/>
  <c r="C1" i="126"/>
  <c r="A1" i="126"/>
  <c r="A21" i="125"/>
  <c r="A16" i="125"/>
  <c r="A15" i="125"/>
  <c r="A14" i="125"/>
  <c r="A13" i="125"/>
  <c r="A12" i="125"/>
  <c r="A11" i="125"/>
  <c r="A10" i="125"/>
  <c r="A9" i="125"/>
  <c r="A8" i="125"/>
  <c r="C1" i="125"/>
  <c r="A1" i="125"/>
  <c r="A18" i="124"/>
  <c r="A13" i="124"/>
  <c r="A12" i="124"/>
  <c r="A11" i="124"/>
  <c r="A10" i="124"/>
  <c r="A9" i="124"/>
  <c r="A8" i="124"/>
  <c r="C1" i="124"/>
  <c r="A1" i="124"/>
  <c r="A21" i="123"/>
  <c r="A16" i="123"/>
  <c r="A15" i="123"/>
  <c r="A14" i="123"/>
  <c r="A13" i="123"/>
  <c r="A12" i="123"/>
  <c r="A11" i="123"/>
  <c r="A10" i="123"/>
  <c r="A9" i="123"/>
  <c r="A8" i="123"/>
  <c r="C1" i="123"/>
  <c r="A1" i="123"/>
  <c r="A57" i="122"/>
  <c r="A52" i="122"/>
  <c r="A51" i="122"/>
  <c r="A50" i="122"/>
  <c r="A49" i="122"/>
  <c r="A48" i="122"/>
  <c r="A47" i="122"/>
  <c r="A46" i="122"/>
  <c r="A45" i="122"/>
  <c r="A44" i="122"/>
  <c r="A43" i="122"/>
  <c r="A42" i="122"/>
  <c r="A41" i="122"/>
  <c r="A40" i="122"/>
  <c r="A39" i="122"/>
  <c r="A38" i="122"/>
  <c r="A37" i="122"/>
  <c r="A36" i="122"/>
  <c r="A35" i="122"/>
  <c r="A34" i="122"/>
  <c r="A33" i="122"/>
  <c r="A32" i="122"/>
  <c r="A31" i="122"/>
  <c r="A30" i="122"/>
  <c r="A29" i="122"/>
  <c r="A28" i="122"/>
  <c r="A27" i="122"/>
  <c r="A26" i="122"/>
  <c r="A25" i="122"/>
  <c r="A24" i="122"/>
  <c r="A23" i="122"/>
  <c r="A22" i="122"/>
  <c r="A21" i="122"/>
  <c r="A20" i="122"/>
  <c r="A19" i="122"/>
  <c r="A18" i="122"/>
  <c r="A17" i="122"/>
  <c r="A16" i="122"/>
  <c r="A15" i="122"/>
  <c r="A14" i="122"/>
  <c r="A13" i="122"/>
  <c r="A12" i="122"/>
  <c r="A11" i="122"/>
  <c r="A10" i="122"/>
  <c r="A9" i="122"/>
  <c r="A8" i="122"/>
  <c r="C1" i="122"/>
  <c r="A1" i="122"/>
  <c r="A26" i="121"/>
  <c r="A21" i="121"/>
  <c r="A20" i="121"/>
  <c r="A19" i="121"/>
  <c r="A18" i="121"/>
  <c r="A17" i="121"/>
  <c r="A16" i="121"/>
  <c r="A15" i="121"/>
  <c r="A14" i="121"/>
  <c r="A13" i="121"/>
  <c r="A12" i="121"/>
  <c r="A11" i="121"/>
  <c r="A10" i="121"/>
  <c r="A9" i="121"/>
  <c r="A8" i="121"/>
  <c r="C1" i="121"/>
  <c r="A1" i="121"/>
  <c r="A18" i="120"/>
  <c r="A13" i="120"/>
  <c r="A12" i="120"/>
  <c r="A11" i="120"/>
  <c r="A10" i="120"/>
  <c r="A9" i="120"/>
  <c r="A8" i="120"/>
  <c r="C1" i="120"/>
  <c r="A1" i="120"/>
  <c r="A25" i="119"/>
  <c r="A24" i="119"/>
  <c r="A23" i="119"/>
  <c r="A22" i="119"/>
  <c r="A21" i="119"/>
  <c r="A16" i="119"/>
  <c r="A15" i="119"/>
  <c r="A14" i="119"/>
  <c r="A13" i="119"/>
  <c r="A12" i="119"/>
  <c r="A11" i="119"/>
  <c r="A10" i="119"/>
  <c r="A9" i="119"/>
  <c r="A8" i="119"/>
  <c r="C1" i="119"/>
  <c r="A1" i="119"/>
  <c r="A22" i="118"/>
  <c r="A21" i="118"/>
  <c r="A16" i="118"/>
  <c r="A15" i="118"/>
  <c r="A14" i="118"/>
  <c r="A13" i="118"/>
  <c r="A12" i="118"/>
  <c r="A11" i="118"/>
  <c r="A10" i="118"/>
  <c r="A9" i="118"/>
  <c r="A8" i="118"/>
  <c r="C1" i="118"/>
  <c r="A1" i="118"/>
  <c r="A56" i="117"/>
  <c r="A55" i="117"/>
  <c r="A50" i="117"/>
  <c r="A49" i="117"/>
  <c r="A48" i="117"/>
  <c r="A47" i="117"/>
  <c r="A46" i="117"/>
  <c r="A45" i="117"/>
  <c r="A44" i="117"/>
  <c r="A43" i="117"/>
  <c r="A42" i="117"/>
  <c r="A41" i="117"/>
  <c r="A40" i="117"/>
  <c r="A39" i="117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C1" i="117"/>
  <c r="A1" i="117"/>
  <c r="A56" i="116"/>
  <c r="A55" i="116"/>
  <c r="A50" i="116"/>
  <c r="A49" i="116"/>
  <c r="A48" i="116"/>
  <c r="A47" i="116"/>
  <c r="A46" i="116"/>
  <c r="A45" i="116"/>
  <c r="A44" i="116"/>
  <c r="A43" i="116"/>
  <c r="A42" i="116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27" i="116"/>
  <c r="A26" i="116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C1" i="116"/>
  <c r="A1" i="116"/>
  <c r="A21" i="115"/>
  <c r="A16" i="115"/>
  <c r="A15" i="115"/>
  <c r="A14" i="115"/>
  <c r="A13" i="115"/>
  <c r="A12" i="115"/>
  <c r="A11" i="115"/>
  <c r="A10" i="115"/>
  <c r="A9" i="115"/>
  <c r="A8" i="115"/>
  <c r="C1" i="115"/>
  <c r="A1" i="115"/>
  <c r="A24" i="114"/>
  <c r="A19" i="114"/>
  <c r="A18" i="114"/>
  <c r="A17" i="114"/>
  <c r="A16" i="114"/>
  <c r="A15" i="114"/>
  <c r="A14" i="114"/>
  <c r="A13" i="114"/>
  <c r="A12" i="114"/>
  <c r="A11" i="114"/>
  <c r="A10" i="114"/>
  <c r="A9" i="114"/>
  <c r="A8" i="114"/>
  <c r="C1" i="114"/>
  <c r="A1" i="114"/>
  <c r="A22" i="113"/>
  <c r="A17" i="113"/>
  <c r="A16" i="113"/>
  <c r="A15" i="113"/>
  <c r="A14" i="113"/>
  <c r="A13" i="113"/>
  <c r="A12" i="113"/>
  <c r="A11" i="113"/>
  <c r="A10" i="113"/>
  <c r="A9" i="113"/>
  <c r="A8" i="113"/>
  <c r="C1" i="113"/>
  <c r="A1" i="113"/>
  <c r="A20" i="112"/>
  <c r="A15" i="112"/>
  <c r="A14" i="112"/>
  <c r="A13" i="112"/>
  <c r="A12" i="112"/>
  <c r="A11" i="112"/>
  <c r="A10" i="112"/>
  <c r="A9" i="112"/>
  <c r="A8" i="112"/>
  <c r="C1" i="112"/>
  <c r="A1" i="112"/>
  <c r="A16" i="111"/>
  <c r="A11" i="111"/>
  <c r="A10" i="111"/>
  <c r="A9" i="111"/>
  <c r="A8" i="111"/>
  <c r="C1" i="111"/>
  <c r="A1" i="111"/>
  <c r="A19" i="110"/>
  <c r="A14" i="110"/>
  <c r="A13" i="110"/>
  <c r="A12" i="110"/>
  <c r="A11" i="110"/>
  <c r="A10" i="110"/>
  <c r="A9" i="110"/>
  <c r="A8" i="110"/>
  <c r="C1" i="110"/>
  <c r="A1" i="110"/>
  <c r="A21" i="109"/>
  <c r="A16" i="109"/>
  <c r="A15" i="109"/>
  <c r="A14" i="109"/>
  <c r="A13" i="109"/>
  <c r="A12" i="109"/>
  <c r="A11" i="109"/>
  <c r="A10" i="109"/>
  <c r="A9" i="109"/>
  <c r="A8" i="109"/>
  <c r="C1" i="109"/>
  <c r="A1" i="109"/>
  <c r="A30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2" i="108"/>
  <c r="A11" i="108"/>
  <c r="A10" i="108"/>
  <c r="A9" i="108"/>
  <c r="A8" i="108"/>
  <c r="C1" i="108"/>
  <c r="A1" i="108"/>
  <c r="A19" i="107"/>
  <c r="A14" i="107"/>
  <c r="A13" i="107"/>
  <c r="A12" i="107"/>
  <c r="A11" i="107"/>
  <c r="A10" i="107"/>
  <c r="A9" i="107"/>
  <c r="A8" i="107"/>
  <c r="C1" i="107"/>
  <c r="A1" i="107"/>
  <c r="A18" i="106"/>
  <c r="A13" i="106"/>
  <c r="A12" i="106"/>
  <c r="A11" i="106"/>
  <c r="A10" i="106"/>
  <c r="A9" i="106"/>
  <c r="A8" i="106"/>
  <c r="C1" i="106"/>
  <c r="A1" i="106"/>
  <c r="A19" i="105"/>
  <c r="A14" i="105"/>
  <c r="A13" i="105"/>
  <c r="A12" i="105"/>
  <c r="A11" i="105"/>
  <c r="A10" i="105"/>
  <c r="A9" i="105"/>
  <c r="A8" i="105"/>
  <c r="C1" i="105"/>
  <c r="A1" i="105"/>
  <c r="A16" i="104"/>
  <c r="A11" i="104"/>
  <c r="A10" i="104"/>
  <c r="A9" i="104"/>
  <c r="A8" i="104"/>
  <c r="C1" i="104"/>
  <c r="A1" i="104"/>
  <c r="A23" i="103"/>
  <c r="A18" i="103"/>
  <c r="A17" i="103"/>
  <c r="A16" i="103"/>
  <c r="A15" i="103"/>
  <c r="A14" i="103"/>
  <c r="A13" i="103"/>
  <c r="A12" i="103"/>
  <c r="A11" i="103"/>
  <c r="A10" i="103"/>
  <c r="A9" i="103"/>
  <c r="A8" i="103"/>
  <c r="C1" i="103"/>
  <c r="A1" i="103"/>
  <c r="A19" i="102"/>
  <c r="A14" i="102"/>
  <c r="A13" i="102"/>
  <c r="A12" i="102"/>
  <c r="A11" i="102"/>
  <c r="A10" i="102"/>
  <c r="A9" i="102"/>
  <c r="A8" i="102"/>
  <c r="C1" i="102"/>
  <c r="A1" i="102"/>
  <c r="A20" i="101"/>
  <c r="A15" i="101"/>
  <c r="A14" i="101"/>
  <c r="A13" i="101"/>
  <c r="A12" i="101"/>
  <c r="A11" i="101"/>
  <c r="A10" i="101"/>
  <c r="A9" i="101"/>
  <c r="A8" i="101"/>
  <c r="C1" i="101"/>
  <c r="A1" i="101"/>
  <c r="A28" i="100"/>
  <c r="A27" i="100"/>
  <c r="A26" i="100"/>
  <c r="A21" i="100"/>
  <c r="A20" i="100"/>
  <c r="A19" i="100"/>
  <c r="A18" i="100"/>
  <c r="A17" i="100"/>
  <c r="A16" i="100"/>
  <c r="A15" i="100"/>
  <c r="A14" i="100"/>
  <c r="A13" i="100"/>
  <c r="A12" i="100"/>
  <c r="A11" i="100"/>
  <c r="A10" i="100"/>
  <c r="A9" i="100"/>
  <c r="A8" i="100"/>
  <c r="C1" i="100"/>
  <c r="A1" i="100"/>
  <c r="A29" i="99"/>
  <c r="A24" i="99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C1" i="99"/>
  <c r="A1" i="99"/>
  <c r="A20" i="98"/>
  <c r="A15" i="98"/>
  <c r="A14" i="98"/>
  <c r="A13" i="98"/>
  <c r="A12" i="98"/>
  <c r="A11" i="98"/>
  <c r="A10" i="98"/>
  <c r="A9" i="98"/>
  <c r="A8" i="98"/>
  <c r="C1" i="98"/>
  <c r="A1" i="98"/>
  <c r="A20" i="97"/>
  <c r="A15" i="97"/>
  <c r="A14" i="97"/>
  <c r="A13" i="97"/>
  <c r="A12" i="97"/>
  <c r="A11" i="97"/>
  <c r="A10" i="97"/>
  <c r="A9" i="97"/>
  <c r="A8" i="97"/>
  <c r="C1" i="97"/>
  <c r="A1" i="97"/>
  <c r="A26" i="96"/>
  <c r="A25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C1" i="96"/>
  <c r="A1" i="96"/>
  <c r="A20" i="95"/>
  <c r="A15" i="95"/>
  <c r="A14" i="95"/>
  <c r="A13" i="95"/>
  <c r="A12" i="95"/>
  <c r="A11" i="95"/>
  <c r="A10" i="95"/>
  <c r="A9" i="95"/>
  <c r="A8" i="95"/>
  <c r="C1" i="95"/>
  <c r="A1" i="95"/>
  <c r="A22" i="94"/>
  <c r="A17" i="94"/>
  <c r="A16" i="94"/>
  <c r="A15" i="94"/>
  <c r="A14" i="94"/>
  <c r="A13" i="94"/>
  <c r="A12" i="94"/>
  <c r="A11" i="94"/>
  <c r="A10" i="94"/>
  <c r="A9" i="94"/>
  <c r="A8" i="94"/>
  <c r="C1" i="94"/>
  <c r="A1" i="94"/>
  <c r="A21" i="93"/>
  <c r="A16" i="93"/>
  <c r="A15" i="93"/>
  <c r="A14" i="93"/>
  <c r="A13" i="93"/>
  <c r="A12" i="93"/>
  <c r="A11" i="93"/>
  <c r="A10" i="93"/>
  <c r="A9" i="93"/>
  <c r="A8" i="93"/>
  <c r="C1" i="93"/>
  <c r="A1" i="93"/>
  <c r="A25" i="92"/>
  <c r="A20" i="92"/>
  <c r="A19" i="92"/>
  <c r="A18" i="92"/>
  <c r="A17" i="92"/>
  <c r="A16" i="92"/>
  <c r="A15" i="92"/>
  <c r="A14" i="92"/>
  <c r="A13" i="92"/>
  <c r="A12" i="92"/>
  <c r="A11" i="92"/>
  <c r="A10" i="92"/>
  <c r="A9" i="92"/>
  <c r="A8" i="92"/>
  <c r="C1" i="92"/>
  <c r="A1" i="92"/>
  <c r="A21" i="91"/>
  <c r="A16" i="91"/>
  <c r="A15" i="91"/>
  <c r="A14" i="91"/>
  <c r="A13" i="91"/>
  <c r="A12" i="91"/>
  <c r="A11" i="91"/>
  <c r="A10" i="91"/>
  <c r="A9" i="91"/>
  <c r="A8" i="91"/>
  <c r="C1" i="91"/>
  <c r="A1" i="91"/>
  <c r="A17" i="90"/>
  <c r="A12" i="90"/>
  <c r="A11" i="90"/>
  <c r="A10" i="90"/>
  <c r="A9" i="90"/>
  <c r="A8" i="90"/>
  <c r="C1" i="90"/>
  <c r="A1" i="90"/>
  <c r="A19" i="89"/>
  <c r="A14" i="89"/>
  <c r="A13" i="89"/>
  <c r="A12" i="89"/>
  <c r="A11" i="89"/>
  <c r="A10" i="89"/>
  <c r="A9" i="89"/>
  <c r="A8" i="89"/>
  <c r="C1" i="89"/>
  <c r="A1" i="89"/>
  <c r="A24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C1" i="88"/>
  <c r="A1" i="88"/>
  <c r="A25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C1" i="87"/>
  <c r="A1" i="87"/>
  <c r="A18" i="86"/>
  <c r="A17" i="86"/>
  <c r="A12" i="86"/>
  <c r="A11" i="86"/>
  <c r="A10" i="86"/>
  <c r="A9" i="86"/>
  <c r="A8" i="86"/>
  <c r="C1" i="86"/>
  <c r="A1" i="86"/>
  <c r="A65" i="85"/>
  <c r="A60" i="85"/>
  <c r="A59" i="85"/>
  <c r="A58" i="85"/>
  <c r="A57" i="85"/>
  <c r="A56" i="85"/>
  <c r="A55" i="85"/>
  <c r="A54" i="85"/>
  <c r="A53" i="85"/>
  <c r="A52" i="85"/>
  <c r="A51" i="85"/>
  <c r="A50" i="85"/>
  <c r="A49" i="85"/>
  <c r="A48" i="85"/>
  <c r="A47" i="85"/>
  <c r="A46" i="85"/>
  <c r="A45" i="85"/>
  <c r="A44" i="85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C1" i="85"/>
  <c r="A1" i="85"/>
  <c r="A21" i="84"/>
  <c r="A20" i="84"/>
  <c r="A19" i="84"/>
  <c r="A14" i="84"/>
  <c r="A13" i="84"/>
  <c r="A12" i="84"/>
  <c r="A11" i="84"/>
  <c r="A10" i="84"/>
  <c r="A9" i="84"/>
  <c r="A8" i="84"/>
  <c r="C1" i="84"/>
  <c r="A1" i="84"/>
  <c r="A18" i="83"/>
  <c r="A17" i="83"/>
  <c r="A12" i="83"/>
  <c r="A11" i="83"/>
  <c r="A10" i="83"/>
  <c r="A9" i="83"/>
  <c r="A8" i="83"/>
  <c r="C1" i="83"/>
  <c r="A1" i="83"/>
  <c r="A31" i="82"/>
  <c r="A30" i="82"/>
  <c r="A29" i="82"/>
  <c r="A28" i="82"/>
  <c r="A27" i="82"/>
  <c r="A26" i="82"/>
  <c r="A25" i="82"/>
  <c r="A24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C1" i="82"/>
  <c r="A1" i="82"/>
  <c r="A31" i="81"/>
  <c r="A30" i="81"/>
  <c r="A29" i="81"/>
  <c r="A28" i="81"/>
  <c r="A27" i="81"/>
  <c r="A26" i="81"/>
  <c r="A25" i="81"/>
  <c r="A24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C1" i="81"/>
  <c r="A1" i="81"/>
  <c r="A30" i="80"/>
  <c r="A29" i="80"/>
  <c r="A28" i="80"/>
  <c r="A27" i="80"/>
  <c r="A26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C1" i="80"/>
  <c r="A1" i="80"/>
  <c r="A31" i="79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C1" i="79"/>
  <c r="A1" i="79"/>
  <c r="A22" i="78"/>
  <c r="A17" i="78"/>
  <c r="A16" i="78"/>
  <c r="A15" i="78"/>
  <c r="A14" i="78"/>
  <c r="A13" i="78"/>
  <c r="A12" i="78"/>
  <c r="A11" i="78"/>
  <c r="A10" i="78"/>
  <c r="A9" i="78"/>
  <c r="A8" i="78"/>
  <c r="C1" i="78"/>
  <c r="A1" i="78"/>
  <c r="A18" i="77"/>
  <c r="A17" i="77"/>
  <c r="A12" i="77"/>
  <c r="A11" i="77"/>
  <c r="A10" i="77"/>
  <c r="A9" i="77"/>
  <c r="A8" i="77"/>
  <c r="C1" i="77"/>
  <c r="A1" i="77"/>
  <c r="A21" i="76"/>
  <c r="A20" i="76"/>
  <c r="A19" i="76"/>
  <c r="A18" i="76"/>
  <c r="A13" i="76"/>
  <c r="A12" i="76"/>
  <c r="A11" i="76"/>
  <c r="A10" i="76"/>
  <c r="A9" i="76"/>
  <c r="A8" i="76"/>
  <c r="C1" i="76"/>
  <c r="A1" i="76"/>
  <c r="A27" i="75"/>
  <c r="A26" i="75"/>
  <c r="A25" i="75"/>
  <c r="A24" i="75"/>
  <c r="A23" i="75"/>
  <c r="A22" i="75"/>
  <c r="A17" i="75"/>
  <c r="A16" i="75"/>
  <c r="A15" i="75"/>
  <c r="A14" i="75"/>
  <c r="A13" i="75"/>
  <c r="A12" i="75"/>
  <c r="A11" i="75"/>
  <c r="A10" i="75"/>
  <c r="A9" i="75"/>
  <c r="A8" i="75"/>
  <c r="C1" i="75"/>
  <c r="A1" i="75"/>
  <c r="A21" i="74"/>
  <c r="A20" i="74"/>
  <c r="A19" i="74"/>
  <c r="A18" i="74"/>
  <c r="A13" i="74"/>
  <c r="A12" i="74"/>
  <c r="A11" i="74"/>
  <c r="A10" i="74"/>
  <c r="A9" i="74"/>
  <c r="A8" i="74"/>
  <c r="C1" i="74"/>
  <c r="A1" i="74"/>
  <c r="A46" i="73"/>
  <c r="A45" i="73"/>
  <c r="A44" i="73"/>
  <c r="A43" i="73"/>
  <c r="A42" i="73"/>
  <c r="A37" i="73"/>
  <c r="A36" i="73"/>
  <c r="A35" i="73"/>
  <c r="A34" i="73"/>
  <c r="A33" i="73"/>
  <c r="A32" i="73"/>
  <c r="A31" i="73"/>
  <c r="A30" i="73"/>
  <c r="A29" i="73"/>
  <c r="A28" i="73"/>
  <c r="A27" i="73"/>
  <c r="A26" i="73"/>
  <c r="A25" i="73"/>
  <c r="A24" i="73"/>
  <c r="A23" i="73"/>
  <c r="A22" i="73"/>
  <c r="A21" i="73"/>
  <c r="A20" i="73"/>
  <c r="A19" i="73"/>
  <c r="A18" i="73"/>
  <c r="A17" i="73"/>
  <c r="A16" i="73"/>
  <c r="A15" i="73"/>
  <c r="A14" i="73"/>
  <c r="A13" i="73"/>
  <c r="A12" i="73"/>
  <c r="A11" i="73"/>
  <c r="A10" i="73"/>
  <c r="A9" i="73"/>
  <c r="A8" i="73"/>
  <c r="C1" i="73"/>
  <c r="A1" i="73"/>
  <c r="A21" i="72"/>
  <c r="A16" i="72"/>
  <c r="A15" i="72"/>
  <c r="A14" i="72"/>
  <c r="A13" i="72"/>
  <c r="A12" i="72"/>
  <c r="A11" i="72"/>
  <c r="A10" i="72"/>
  <c r="A9" i="72"/>
  <c r="A8" i="72"/>
  <c r="C1" i="72"/>
  <c r="A1" i="72"/>
  <c r="A23" i="71"/>
  <c r="A22" i="71"/>
  <c r="A21" i="71"/>
  <c r="A20" i="71"/>
  <c r="A15" i="71"/>
  <c r="A14" i="71"/>
  <c r="A13" i="71"/>
  <c r="A12" i="71"/>
  <c r="A11" i="71"/>
  <c r="A10" i="71"/>
  <c r="A9" i="71"/>
  <c r="A8" i="71"/>
  <c r="C1" i="71"/>
  <c r="A1" i="71"/>
  <c r="A24" i="70"/>
  <c r="A23" i="70"/>
  <c r="A22" i="70"/>
  <c r="A21" i="70"/>
  <c r="A20" i="70"/>
  <c r="A19" i="70"/>
  <c r="A14" i="70"/>
  <c r="A13" i="70"/>
  <c r="A12" i="70"/>
  <c r="A11" i="70"/>
  <c r="A10" i="70"/>
  <c r="A9" i="70"/>
  <c r="A8" i="70"/>
  <c r="C1" i="70"/>
  <c r="A1" i="70"/>
  <c r="A21" i="69"/>
  <c r="A20" i="69"/>
  <c r="A19" i="69"/>
  <c r="A18" i="69"/>
  <c r="A13" i="69"/>
  <c r="A12" i="69"/>
  <c r="A11" i="69"/>
  <c r="A10" i="69"/>
  <c r="A9" i="69"/>
  <c r="A8" i="69"/>
  <c r="C1" i="69"/>
  <c r="A1" i="69"/>
  <c r="A25" i="68"/>
  <c r="A20" i="68"/>
  <c r="A19" i="68"/>
  <c r="A18" i="68"/>
  <c r="A17" i="68"/>
  <c r="A16" i="68"/>
  <c r="A15" i="68"/>
  <c r="A14" i="68"/>
  <c r="A13" i="68"/>
  <c r="A12" i="68"/>
  <c r="A11" i="68"/>
  <c r="A10" i="68"/>
  <c r="A9" i="68"/>
  <c r="A8" i="68"/>
  <c r="C1" i="68"/>
  <c r="A1" i="68"/>
  <c r="A32" i="67"/>
  <c r="A27" i="67"/>
  <c r="A26" i="67"/>
  <c r="A25" i="67"/>
  <c r="A24" i="67"/>
  <c r="A23" i="67"/>
  <c r="A22" i="67"/>
  <c r="A21" i="67"/>
  <c r="A20" i="67"/>
  <c r="A19" i="67"/>
  <c r="A18" i="67"/>
  <c r="A17" i="67"/>
  <c r="A16" i="67"/>
  <c r="A15" i="67"/>
  <c r="A14" i="67"/>
  <c r="A13" i="67"/>
  <c r="A12" i="67"/>
  <c r="A11" i="67"/>
  <c r="A10" i="67"/>
  <c r="A9" i="67"/>
  <c r="A8" i="67"/>
  <c r="C1" i="67"/>
  <c r="A1" i="67"/>
  <c r="A17" i="66"/>
  <c r="A12" i="66"/>
  <c r="A11" i="66"/>
  <c r="A10" i="66"/>
  <c r="A9" i="66"/>
  <c r="A8" i="66"/>
  <c r="C1" i="66"/>
  <c r="A1" i="66"/>
  <c r="A24" i="65"/>
  <c r="A19" i="65"/>
  <c r="A18" i="65"/>
  <c r="A17" i="65"/>
  <c r="A16" i="65"/>
  <c r="A15" i="65"/>
  <c r="A14" i="65"/>
  <c r="A13" i="65"/>
  <c r="A12" i="65"/>
  <c r="A11" i="65"/>
  <c r="A10" i="65"/>
  <c r="A9" i="65"/>
  <c r="A8" i="65"/>
  <c r="C1" i="65"/>
  <c r="A1" i="65"/>
  <c r="A21" i="64"/>
  <c r="A16" i="64"/>
  <c r="A15" i="64"/>
  <c r="A14" i="64"/>
  <c r="A13" i="64"/>
  <c r="A12" i="64"/>
  <c r="A11" i="64"/>
  <c r="A10" i="64"/>
  <c r="A9" i="64"/>
  <c r="A8" i="64"/>
  <c r="C1" i="64"/>
  <c r="A1" i="64"/>
  <c r="A19" i="63"/>
  <c r="A14" i="63"/>
  <c r="A13" i="63"/>
  <c r="A12" i="63"/>
  <c r="A11" i="63"/>
  <c r="A10" i="63"/>
  <c r="A9" i="63"/>
  <c r="A8" i="63"/>
  <c r="C1" i="63"/>
  <c r="A1" i="63"/>
  <c r="A20" i="62"/>
  <c r="A15" i="62"/>
  <c r="A14" i="62"/>
  <c r="A13" i="62"/>
  <c r="A12" i="62"/>
  <c r="A11" i="62"/>
  <c r="A10" i="62"/>
  <c r="A9" i="62"/>
  <c r="A8" i="62"/>
  <c r="C1" i="62"/>
  <c r="A1" i="62"/>
  <c r="A20" i="61"/>
  <c r="A15" i="61"/>
  <c r="A14" i="61"/>
  <c r="A13" i="61"/>
  <c r="A12" i="61"/>
  <c r="A11" i="61"/>
  <c r="A10" i="61"/>
  <c r="A9" i="61"/>
  <c r="A8" i="61"/>
  <c r="C1" i="61"/>
  <c r="A1" i="61"/>
  <c r="A25" i="60"/>
  <c r="A24" i="60"/>
  <c r="A23" i="60"/>
  <c r="A22" i="60"/>
  <c r="A21" i="60"/>
  <c r="A20" i="60"/>
  <c r="A15" i="60"/>
  <c r="A14" i="60"/>
  <c r="A13" i="60"/>
  <c r="A12" i="60"/>
  <c r="A11" i="60"/>
  <c r="A10" i="60"/>
  <c r="A9" i="60"/>
  <c r="A8" i="60"/>
  <c r="C1" i="60"/>
  <c r="A1" i="60"/>
  <c r="A17" i="59"/>
  <c r="A16" i="59"/>
  <c r="A11" i="59"/>
  <c r="A10" i="59"/>
  <c r="A9" i="59"/>
  <c r="A8" i="59"/>
  <c r="C1" i="59"/>
  <c r="A1" i="59"/>
  <c r="A34" i="58"/>
  <c r="A33" i="58"/>
  <c r="A32" i="58"/>
  <c r="A31" i="58"/>
  <c r="A30" i="58"/>
  <c r="A29" i="58"/>
  <c r="A28" i="58"/>
  <c r="A27" i="58"/>
  <c r="A22" i="58"/>
  <c r="A21" i="58"/>
  <c r="A20" i="58"/>
  <c r="A19" i="58"/>
  <c r="A18" i="58"/>
  <c r="A17" i="58"/>
  <c r="A16" i="58"/>
  <c r="A15" i="58"/>
  <c r="A14" i="58"/>
  <c r="A13" i="58"/>
  <c r="A12" i="58"/>
  <c r="A11" i="58"/>
  <c r="A10" i="58"/>
  <c r="A9" i="58"/>
  <c r="A8" i="58"/>
  <c r="C1" i="58"/>
  <c r="A1" i="58"/>
  <c r="A24" i="57"/>
  <c r="A23" i="57"/>
  <c r="A18" i="57"/>
  <c r="A17" i="57"/>
  <c r="A16" i="57"/>
  <c r="A15" i="57"/>
  <c r="A14" i="57"/>
  <c r="A13" i="57"/>
  <c r="A12" i="57"/>
  <c r="A11" i="57"/>
  <c r="A10" i="57"/>
  <c r="A9" i="57"/>
  <c r="A8" i="57"/>
  <c r="C1" i="57"/>
  <c r="A1" i="57"/>
  <c r="A21" i="56"/>
  <c r="A16" i="56"/>
  <c r="A15" i="56"/>
  <c r="A14" i="56"/>
  <c r="A13" i="56"/>
  <c r="A12" i="56"/>
  <c r="A11" i="56"/>
  <c r="A10" i="56"/>
  <c r="A9" i="56"/>
  <c r="A8" i="56"/>
  <c r="C1" i="56"/>
  <c r="A1" i="56"/>
  <c r="A16" i="55"/>
  <c r="A11" i="55"/>
  <c r="A10" i="55"/>
  <c r="A9" i="55"/>
  <c r="A8" i="55"/>
  <c r="C1" i="55"/>
  <c r="A1" i="55"/>
  <c r="A22" i="54"/>
  <c r="A17" i="54"/>
  <c r="A16" i="54"/>
  <c r="A15" i="54"/>
  <c r="A14" i="54"/>
  <c r="A13" i="54"/>
  <c r="A12" i="54"/>
  <c r="A11" i="54"/>
  <c r="A10" i="54"/>
  <c r="A9" i="54"/>
  <c r="A8" i="54"/>
  <c r="C1" i="54"/>
  <c r="A1" i="54"/>
  <c r="A22" i="53"/>
  <c r="A17" i="53"/>
  <c r="A16" i="53"/>
  <c r="A15" i="53"/>
  <c r="A14" i="53"/>
  <c r="A13" i="53"/>
  <c r="A12" i="53"/>
  <c r="A11" i="53"/>
  <c r="A10" i="53"/>
  <c r="A9" i="53"/>
  <c r="A8" i="53"/>
  <c r="C1" i="53"/>
  <c r="A1" i="53"/>
  <c r="A37" i="52"/>
  <c r="A32" i="52"/>
  <c r="A31" i="52"/>
  <c r="A30" i="52"/>
  <c r="A29" i="52"/>
  <c r="A28" i="52"/>
  <c r="A27" i="52"/>
  <c r="A26" i="52"/>
  <c r="A25" i="52"/>
  <c r="A24" i="52"/>
  <c r="A23" i="52"/>
  <c r="A22" i="52"/>
  <c r="A21" i="52"/>
  <c r="A20" i="52"/>
  <c r="A19" i="52"/>
  <c r="A18" i="52"/>
  <c r="A17" i="52"/>
  <c r="A16" i="52"/>
  <c r="A15" i="52"/>
  <c r="A14" i="52"/>
  <c r="A13" i="52"/>
  <c r="A12" i="52"/>
  <c r="A11" i="52"/>
  <c r="A10" i="52"/>
  <c r="A9" i="52"/>
  <c r="A8" i="52"/>
  <c r="C1" i="52"/>
  <c r="A1" i="52"/>
  <c r="A19" i="51"/>
  <c r="A14" i="51"/>
  <c r="A13" i="51"/>
  <c r="A12" i="51"/>
  <c r="A11" i="51"/>
  <c r="A10" i="51"/>
  <c r="A9" i="51"/>
  <c r="A8" i="51"/>
  <c r="C1" i="51"/>
  <c r="A1" i="51"/>
  <c r="A27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C1" i="50"/>
  <c r="A1" i="50"/>
  <c r="A27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C1" i="49"/>
  <c r="A1" i="49"/>
  <c r="A33" i="48"/>
  <c r="A28" i="48"/>
  <c r="A27" i="48"/>
  <c r="A26" i="48"/>
  <c r="A25" i="48"/>
  <c r="A24" i="48"/>
  <c r="A23" i="48"/>
  <c r="A22" i="48"/>
  <c r="A21" i="48"/>
  <c r="A20" i="48"/>
  <c r="A19" i="48"/>
  <c r="A18" i="48"/>
  <c r="A17" i="48"/>
  <c r="A16" i="48"/>
  <c r="A15" i="48"/>
  <c r="A14" i="48"/>
  <c r="A13" i="48"/>
  <c r="A12" i="48"/>
  <c r="A11" i="48"/>
  <c r="A10" i="48"/>
  <c r="A9" i="48"/>
  <c r="A8" i="48"/>
  <c r="C1" i="48"/>
  <c r="A1" i="48"/>
  <c r="A21" i="47"/>
  <c r="A16" i="47"/>
  <c r="A15" i="47"/>
  <c r="A14" i="47"/>
  <c r="A13" i="47"/>
  <c r="A12" i="47"/>
  <c r="A11" i="47"/>
  <c r="A10" i="47"/>
  <c r="A9" i="47"/>
  <c r="A8" i="47"/>
  <c r="C1" i="47"/>
  <c r="A1" i="47"/>
  <c r="A20" i="46"/>
  <c r="A19" i="46"/>
  <c r="A14" i="46"/>
  <c r="A13" i="46"/>
  <c r="A12" i="46"/>
  <c r="A11" i="46"/>
  <c r="A10" i="46"/>
  <c r="A9" i="46"/>
  <c r="A8" i="46"/>
  <c r="C1" i="46"/>
  <c r="A1" i="46"/>
  <c r="A23" i="45"/>
  <c r="A22" i="45"/>
  <c r="A17" i="45"/>
  <c r="A16" i="45"/>
  <c r="A15" i="45"/>
  <c r="A14" i="45"/>
  <c r="A13" i="45"/>
  <c r="A12" i="45"/>
  <c r="A11" i="45"/>
  <c r="A10" i="45"/>
  <c r="A9" i="45"/>
  <c r="A8" i="45"/>
  <c r="C1" i="45"/>
  <c r="A1" i="45"/>
  <c r="A17" i="44"/>
  <c r="A16" i="44"/>
  <c r="A11" i="44"/>
  <c r="A10" i="44"/>
  <c r="A9" i="44"/>
  <c r="A8" i="44"/>
  <c r="C1" i="44"/>
  <c r="A1" i="44"/>
  <c r="A26" i="43"/>
  <c r="A25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C1" i="43"/>
  <c r="A1" i="43"/>
  <c r="A14" i="42"/>
  <c r="A9" i="42"/>
  <c r="A8" i="42"/>
  <c r="C1" i="42"/>
  <c r="A1" i="42"/>
  <c r="A20" i="41"/>
  <c r="A19" i="41"/>
  <c r="A14" i="41"/>
  <c r="A13" i="41"/>
  <c r="A12" i="41"/>
  <c r="A11" i="41"/>
  <c r="A10" i="41"/>
  <c r="A9" i="41"/>
  <c r="A8" i="41"/>
  <c r="C1" i="41"/>
  <c r="A1" i="41"/>
  <c r="A20" i="40"/>
  <c r="A19" i="40"/>
  <c r="A14" i="40"/>
  <c r="A13" i="40"/>
  <c r="A12" i="40"/>
  <c r="A11" i="40"/>
  <c r="A10" i="40"/>
  <c r="A9" i="40"/>
  <c r="A8" i="40"/>
  <c r="C1" i="40"/>
  <c r="A1" i="40"/>
</calcChain>
</file>

<file path=xl/sharedStrings.xml><?xml version="1.0" encoding="utf-8"?>
<sst xmlns="http://schemas.openxmlformats.org/spreadsheetml/2006/main" count="10260" uniqueCount="1474">
  <si>
    <t>序号</t>
  </si>
  <si>
    <t>表名(英文)</t>
  </si>
  <si>
    <t>备注</t>
  </si>
  <si>
    <t/>
  </si>
  <si>
    <t>系统</t>
    <phoneticPr fontId="2" type="noConversion"/>
  </si>
  <si>
    <t>链接</t>
    <phoneticPr fontId="2" type="noConversion"/>
  </si>
  <si>
    <t>EOF</t>
  </si>
  <si>
    <t>字段长度</t>
  </si>
  <si>
    <t>表名(中文)</t>
    <phoneticPr fontId="2" type="noConversion"/>
  </si>
  <si>
    <t>序号</t>
    <phoneticPr fontId="3" type="noConversion"/>
  </si>
  <si>
    <t>字段属性</t>
    <phoneticPr fontId="3" type="noConversion"/>
  </si>
  <si>
    <t>字段中文名</t>
    <phoneticPr fontId="3" type="noConversion"/>
  </si>
  <si>
    <t>字段精度</t>
    <phoneticPr fontId="2" type="noConversion"/>
  </si>
  <si>
    <t>非空约束</t>
    <phoneticPr fontId="2" type="noConversion"/>
  </si>
  <si>
    <t>主键约束</t>
    <phoneticPr fontId="2" type="noConversion"/>
  </si>
  <si>
    <t>Y</t>
  </si>
  <si>
    <t>Y</t>
    <phoneticPr fontId="2" type="noConversion"/>
  </si>
  <si>
    <t>字段英文名　</t>
    <phoneticPr fontId="3" type="noConversion"/>
  </si>
  <si>
    <t>索引名　</t>
    <phoneticPr fontId="3" type="noConversion"/>
  </si>
  <si>
    <t>字段1</t>
    <phoneticPr fontId="3" type="noConversion"/>
  </si>
  <si>
    <t>字段2</t>
    <phoneticPr fontId="3" type="noConversion"/>
  </si>
  <si>
    <t>字段3</t>
    <phoneticPr fontId="2" type="noConversion"/>
  </si>
  <si>
    <t>字段4</t>
    <phoneticPr fontId="2" type="noConversion"/>
  </si>
  <si>
    <t>字段5</t>
    <phoneticPr fontId="2" type="noConversion"/>
  </si>
  <si>
    <t>字段6</t>
    <phoneticPr fontId="2" type="noConversion"/>
  </si>
  <si>
    <t>备注说明</t>
    <phoneticPr fontId="2" type="noConversion"/>
  </si>
  <si>
    <t>备注说明</t>
    <phoneticPr fontId="2" type="noConversion"/>
  </si>
  <si>
    <t>本系统</t>
    <phoneticPr fontId="2" type="noConversion"/>
  </si>
  <si>
    <t>varchar2</t>
  </si>
  <si>
    <t>资产编号</t>
    <phoneticPr fontId="2" type="noConversion"/>
  </si>
  <si>
    <t>date</t>
    <phoneticPr fontId="2" type="noConversion"/>
  </si>
  <si>
    <t>number</t>
    <phoneticPr fontId="2" type="noConversion"/>
  </si>
  <si>
    <t>收益率</t>
    <phoneticPr fontId="2" type="noConversion"/>
  </si>
  <si>
    <t>txn_date</t>
    <phoneticPr fontId="2" type="noConversion"/>
  </si>
  <si>
    <t>asset_id</t>
    <phoneticPr fontId="2" type="noConversion"/>
  </si>
  <si>
    <t>portfolio_id</t>
    <phoneticPr fontId="2" type="noConversion"/>
  </si>
  <si>
    <t>交易日期</t>
    <phoneticPr fontId="2" type="noConversion"/>
  </si>
  <si>
    <t>yyyymmdd</t>
    <phoneticPr fontId="2" type="noConversion"/>
  </si>
  <si>
    <t>波动率</t>
    <phoneticPr fontId="2" type="noConversion"/>
  </si>
  <si>
    <t xml:space="preserve">volatility </t>
    <phoneticPr fontId="2" type="noConversion"/>
  </si>
  <si>
    <t>基准收益率表</t>
    <phoneticPr fontId="2" type="noConversion"/>
  </si>
  <si>
    <t>关注组合收益率表</t>
    <phoneticPr fontId="2" type="noConversion"/>
  </si>
  <si>
    <t>组合编号</t>
    <phoneticPr fontId="2" type="noConversion"/>
  </si>
  <si>
    <t>benchmark_id</t>
    <phoneticPr fontId="2" type="noConversion"/>
  </si>
  <si>
    <t>默认值</t>
    <phoneticPr fontId="2" type="noConversion"/>
  </si>
  <si>
    <t>是否唯一</t>
    <phoneticPr fontId="2" type="noConversion"/>
  </si>
  <si>
    <t>变更日期</t>
    <phoneticPr fontId="2" type="noConversion"/>
  </si>
  <si>
    <t>变更内容</t>
    <phoneticPr fontId="2" type="noConversion"/>
  </si>
  <si>
    <t>是否生成SQL</t>
    <phoneticPr fontId="2" type="noConversion"/>
  </si>
  <si>
    <t>N</t>
    <phoneticPr fontId="2" type="noConversion"/>
  </si>
  <si>
    <t>变更记录</t>
    <phoneticPr fontId="2" type="noConversion"/>
  </si>
  <si>
    <t>变更记录</t>
    <phoneticPr fontId="2" type="noConversion"/>
  </si>
  <si>
    <t>yield</t>
    <phoneticPr fontId="2" type="noConversion"/>
  </si>
  <si>
    <t>yield</t>
    <phoneticPr fontId="2" type="noConversion"/>
  </si>
  <si>
    <t>accum_yield</t>
    <phoneticPr fontId="2" type="noConversion"/>
  </si>
  <si>
    <t>以3年前为起始开始计算</t>
    <phoneticPr fontId="2" type="noConversion"/>
  </si>
  <si>
    <t>绝对累计收益率</t>
    <phoneticPr fontId="2" type="noConversion"/>
  </si>
  <si>
    <t>模板</t>
    <phoneticPr fontId="2" type="noConversion"/>
  </si>
  <si>
    <t>模板</t>
    <phoneticPr fontId="2" type="noConversion"/>
  </si>
  <si>
    <t>volunteer</t>
  </si>
  <si>
    <t>隶属系统</t>
  </si>
  <si>
    <t>belong_system_info</t>
  </si>
  <si>
    <t>字段英文名　</t>
  </si>
  <si>
    <t>字段中文名</t>
  </si>
  <si>
    <t>字段属性</t>
  </si>
  <si>
    <t>字段精度</t>
  </si>
  <si>
    <t>主键约束</t>
  </si>
  <si>
    <t>非空约束</t>
  </si>
  <si>
    <t>默认值</t>
  </si>
  <si>
    <t>备注说明</t>
  </si>
  <si>
    <t>id</t>
  </si>
  <si>
    <t>隶属系统ID</t>
  </si>
  <si>
    <t>BIGINT</t>
  </si>
  <si>
    <t>belong_system_name</t>
  </si>
  <si>
    <t>名称</t>
  </si>
  <si>
    <t>VARCHAR(255)</t>
  </si>
  <si>
    <t>belong_system_description</t>
  </si>
  <si>
    <t>描述</t>
  </si>
  <si>
    <t>TEXT</t>
  </si>
  <si>
    <t>is_open</t>
  </si>
  <si>
    <t>是否启用(0否，1是)</t>
  </si>
  <si>
    <t>INT</t>
  </si>
  <si>
    <t>parent_id</t>
  </si>
  <si>
    <t xml:space="preserve"> 父ID</t>
  </si>
  <si>
    <t>lay_order</t>
  </si>
  <si>
    <t>排序串</t>
  </si>
  <si>
    <t>索引名　</t>
  </si>
  <si>
    <t>字段1</t>
  </si>
  <si>
    <t>字段2</t>
  </si>
  <si>
    <t>字段3</t>
  </si>
  <si>
    <t>字段4</t>
  </si>
  <si>
    <t>字段5</t>
  </si>
  <si>
    <t>字段6</t>
  </si>
  <si>
    <t>是否唯一</t>
  </si>
  <si>
    <t>IX_belong_system_info</t>
  </si>
  <si>
    <t>N</t>
  </si>
  <si>
    <t>ASC</t>
  </si>
  <si>
    <t>belong_system_info_copy</t>
  </si>
  <si>
    <t>VARCHAR(36)</t>
  </si>
  <si>
    <t>全日期日历表，用于数据统计</t>
  </si>
  <si>
    <t>calendar</t>
  </si>
  <si>
    <t>datelist</t>
  </si>
  <si>
    <t>DATE</t>
  </si>
  <si>
    <t>maintain_icon</t>
  </si>
  <si>
    <t>自增长列</t>
  </si>
  <si>
    <t>identity</t>
  </si>
  <si>
    <t>VARCHAR(100)</t>
  </si>
  <si>
    <t>css_class</t>
  </si>
  <si>
    <t>img_src</t>
  </si>
  <si>
    <t>VARCHAR(200)</t>
  </si>
  <si>
    <t>width</t>
  </si>
  <si>
    <t>SMALLINT</t>
  </si>
  <si>
    <t>height</t>
  </si>
  <si>
    <t>sprite_src</t>
  </si>
  <si>
    <t>left_</t>
  </si>
  <si>
    <t>top</t>
  </si>
  <si>
    <t>style</t>
  </si>
  <si>
    <t>type</t>
  </si>
  <si>
    <t>VARCHAR(30)</t>
  </si>
  <si>
    <t>description</t>
  </si>
  <si>
    <t>unique_maintain_icon_identity</t>
  </si>
  <si>
    <t>maintain_map</t>
  </si>
  <si>
    <t>map_key</t>
  </si>
  <si>
    <t>map_value</t>
  </si>
  <si>
    <t>VARCHAR(500)</t>
  </si>
  <si>
    <t>unique_maintain_map_key</t>
  </si>
  <si>
    <t>maintain_notification_data</t>
  </si>
  <si>
    <t>user_id</t>
  </si>
  <si>
    <t>system</t>
  </si>
  <si>
    <t>VARCHAR(50)</t>
  </si>
  <si>
    <t>title</t>
  </si>
  <si>
    <t>VARCHAR(600)</t>
  </si>
  <si>
    <t>content</t>
  </si>
  <si>
    <t>VARCHAR(2000)</t>
  </si>
  <si>
    <t>date</t>
  </si>
  <si>
    <t>TIMESTAMP</t>
  </si>
  <si>
    <t>0000-00-00 00:00:00</t>
  </si>
  <si>
    <t>is_read</t>
  </si>
  <si>
    <t>TINYINT</t>
  </si>
  <si>
    <t>create_date</t>
  </si>
  <si>
    <t>已读时间</t>
  </si>
  <si>
    <t>read_date</t>
  </si>
  <si>
    <t>idx_maintain_notification_data_user_id_read</t>
  </si>
  <si>
    <t>maintain_notification_template</t>
  </si>
  <si>
    <t>name</t>
  </si>
  <si>
    <t>template</t>
  </si>
  <si>
    <t>deleted</t>
  </si>
  <si>
    <t>unique_maintain_notification_template_name</t>
  </si>
  <si>
    <t>maintain_task_definition</t>
  </si>
  <si>
    <t>cron</t>
  </si>
  <si>
    <t>bean_class</t>
  </si>
  <si>
    <t>bean_name</t>
  </si>
  <si>
    <t>method_name</t>
  </si>
  <si>
    <t>is_start</t>
  </si>
  <si>
    <t>广告表</t>
  </si>
  <si>
    <t>news_ad</t>
  </si>
  <si>
    <t>主键</t>
  </si>
  <si>
    <t>class_id</t>
  </si>
  <si>
    <t>广告分类</t>
  </si>
  <si>
    <t>ad_type</t>
  </si>
  <si>
    <t>广告类型(0图片1flash)</t>
  </si>
  <si>
    <t>ad_name</t>
  </si>
  <si>
    <t>广告名称</t>
  </si>
  <si>
    <t>VARCHAR(16)</t>
  </si>
  <si>
    <t>remark_</t>
  </si>
  <si>
    <t>广告描述</t>
  </si>
  <si>
    <t>VARCHAR(128)</t>
  </si>
  <si>
    <t>width_</t>
  </si>
  <si>
    <t>广告宽度</t>
  </si>
  <si>
    <t>height_</t>
  </si>
  <si>
    <t>广告高度</t>
  </si>
  <si>
    <t>weight_</t>
  </si>
  <si>
    <t>权重值(0~9)</t>
  </si>
  <si>
    <t>target_</t>
  </si>
  <si>
    <t>目标页(_self;_blank;)</t>
  </si>
  <si>
    <t>url_address</t>
  </si>
  <si>
    <t>广告网址</t>
  </si>
  <si>
    <t>file_name</t>
  </si>
  <si>
    <t>文件名称</t>
  </si>
  <si>
    <t>VARCHAR(64)</t>
  </si>
  <si>
    <t>related_file</t>
  </si>
  <si>
    <t>关联文件</t>
  </si>
  <si>
    <t>begin_date</t>
  </si>
  <si>
    <t>开始时间</t>
  </si>
  <si>
    <t>end_date</t>
  </si>
  <si>
    <t>结束时间</t>
  </si>
  <si>
    <t>views_</t>
  </si>
  <si>
    <t>展示数</t>
  </si>
  <si>
    <t>0</t>
  </si>
  <si>
    <t>hits_</t>
  </si>
  <si>
    <t>点击数</t>
  </si>
  <si>
    <t>is_use</t>
  </si>
  <si>
    <t>是否使用</t>
  </si>
  <si>
    <t>dateline_</t>
  </si>
  <si>
    <t>添加时间</t>
  </si>
  <si>
    <t>source_id</t>
  </si>
  <si>
    <t>来源ID</t>
  </si>
  <si>
    <t>source_type</t>
  </si>
  <si>
    <t>来源类型</t>
  </si>
  <si>
    <t>新闻栏目表</t>
  </si>
  <si>
    <t>news_class</t>
  </si>
  <si>
    <t>栏目ID</t>
  </si>
  <si>
    <t>class_type</t>
  </si>
  <si>
    <t>栏目类型(0普通栏目;1单页栏目;2外链)</t>
  </si>
  <si>
    <t>class_name</t>
  </si>
  <si>
    <t>栏目名称</t>
  </si>
  <si>
    <t>VARCHAR(32)</t>
  </si>
  <si>
    <t>父级ID</t>
  </si>
  <si>
    <t>parent_ids</t>
  </si>
  <si>
    <t>父级ID组</t>
  </si>
  <si>
    <t>template_id</t>
  </si>
  <si>
    <t>模板ID</t>
  </si>
  <si>
    <t>alias_</t>
  </si>
  <si>
    <t>别名(英文名称)</t>
  </si>
  <si>
    <t>icon_</t>
  </si>
  <si>
    <t>图标</t>
  </si>
  <si>
    <t>intro_</t>
  </si>
  <si>
    <t>简介</t>
  </si>
  <si>
    <t>VARCHAR(512)</t>
  </si>
  <si>
    <t>外部链接转向地址</t>
  </si>
  <si>
    <t>is_show</t>
  </si>
  <si>
    <t>是否显示</t>
  </si>
  <si>
    <t>checkedl_level</t>
  </si>
  <si>
    <t>审核级别</t>
  </si>
  <si>
    <t>is_checked</t>
  </si>
  <si>
    <t>新闻审核模式(0直接发布1需要审核)</t>
  </si>
  <si>
    <t>排序值</t>
  </si>
  <si>
    <t>评论表</t>
  </si>
  <si>
    <t>news_comment</t>
  </si>
  <si>
    <t>评论ID</t>
  </si>
  <si>
    <t>news_id</t>
  </si>
  <si>
    <t>新闻id</t>
  </si>
  <si>
    <t>title_</t>
  </si>
  <si>
    <t>评论标题</t>
  </si>
  <si>
    <t>content_</t>
  </si>
  <si>
    <t>评论内容</t>
  </si>
  <si>
    <t>用户ID</t>
  </si>
  <si>
    <t>user_nick</t>
  </si>
  <si>
    <t>用户昵称</t>
  </si>
  <si>
    <t>email_</t>
  </si>
  <si>
    <t>电子邮件</t>
  </si>
  <si>
    <t>date_line</t>
  </si>
  <si>
    <t>发布日期</t>
  </si>
  <si>
    <t>ip_address</t>
  </si>
  <si>
    <t>IP地址</t>
  </si>
  <si>
    <t>是否审核</t>
  </si>
  <si>
    <t>is_anonymity</t>
  </si>
  <si>
    <t>是否匿名</t>
  </si>
  <si>
    <t>source_title</t>
  </si>
  <si>
    <t>来源标题</t>
  </si>
  <si>
    <t>VARCHAR(256)</t>
  </si>
  <si>
    <t>news_image</t>
  </si>
  <si>
    <t>图片ID</t>
  </si>
  <si>
    <t>image_name</t>
  </si>
  <si>
    <t>图片名字</t>
  </si>
  <si>
    <t>description_</t>
  </si>
  <si>
    <t>图片描述</t>
  </si>
  <si>
    <t>is_hidden</t>
  </si>
  <si>
    <t>是否隐藏</t>
  </si>
  <si>
    <t>VARCHAR(8)</t>
  </si>
  <si>
    <t>上传时间</t>
  </si>
  <si>
    <t>新闻表</t>
  </si>
  <si>
    <t>news_info</t>
  </si>
  <si>
    <t>新闻ID</t>
  </si>
  <si>
    <t>class_order</t>
  </si>
  <si>
    <t>栏目排序</t>
  </si>
  <si>
    <t>news_type</t>
  </si>
  <si>
    <t>新闻类型(0普通1图片2外链)</t>
  </si>
  <si>
    <t>news_top</t>
  </si>
  <si>
    <t>新闻置顶(0普通1栏目置顶2总置顶)</t>
  </si>
  <si>
    <t>permit_</t>
  </si>
  <si>
    <t>浏览权限(0普通1内部)(扩展:2指定角色3指定用户...)(设置有权限的新闻不予提供静态化)</t>
  </si>
  <si>
    <t>sign_</t>
  </si>
  <si>
    <t>新闻标记({推荐}{热点}{多图}...)</t>
  </si>
  <si>
    <t>新闻标题</t>
  </si>
  <si>
    <t>abstract_</t>
  </si>
  <si>
    <t>新闻摘要</t>
  </si>
  <si>
    <t>新闻内容</t>
  </si>
  <si>
    <t>reviews_</t>
  </si>
  <si>
    <t>网站点评</t>
  </si>
  <si>
    <t>image_</t>
  </si>
  <si>
    <t>新闻图片</t>
  </si>
  <si>
    <t>author_</t>
  </si>
  <si>
    <t>新闻作者(作者;Email)</t>
  </si>
  <si>
    <t>source_</t>
  </si>
  <si>
    <t>新闻来源(来源;网址)</t>
  </si>
  <si>
    <t>comments_</t>
  </si>
  <si>
    <t>评论数</t>
  </si>
  <si>
    <t>is_image</t>
  </si>
  <si>
    <t>是否多图 0 否 1是</t>
  </si>
  <si>
    <t>是否隐藏 0 否 1是</t>
  </si>
  <si>
    <t>is_comment</t>
  </si>
  <si>
    <t>是否评论 0 否 1是</t>
  </si>
  <si>
    <t>is_delete</t>
  </si>
  <si>
    <t>是否删除 0 否 1是</t>
  </si>
  <si>
    <t>is_train</t>
  </si>
  <si>
    <t>是否培训类文章 0 否 1是</t>
  </si>
  <si>
    <t>友情链接表</t>
  </si>
  <si>
    <t>news_link</t>
  </si>
  <si>
    <t>链接ID</t>
  </si>
  <si>
    <t>link_type</t>
  </si>
  <si>
    <t>类型(0文字1图片)</t>
  </si>
  <si>
    <t>site_name</t>
  </si>
  <si>
    <t>网站名称</t>
  </si>
  <si>
    <t>网站地址</t>
  </si>
  <si>
    <t>网站介绍</t>
  </si>
  <si>
    <t>网站图标</t>
  </si>
  <si>
    <t>链接排序</t>
  </si>
  <si>
    <t>发布时间</t>
  </si>
  <si>
    <t>滑动新闻表</t>
  </si>
  <si>
    <t>news_slide</t>
  </si>
  <si>
    <t>滑动新闻id</t>
  </si>
  <si>
    <t>轮播新闻名称</t>
  </si>
  <si>
    <t>image</t>
  </si>
  <si>
    <t>滑动图片</t>
  </si>
  <si>
    <t>text</t>
  </si>
  <si>
    <t>滑动文字</t>
  </si>
  <si>
    <t>url地址</t>
  </si>
  <si>
    <t>status</t>
  </si>
  <si>
    <t>新闻状态</t>
  </si>
  <si>
    <t>1</t>
  </si>
  <si>
    <t>创建时间</t>
  </si>
  <si>
    <t>level</t>
  </si>
  <si>
    <t>推荐等级</t>
  </si>
  <si>
    <t>类型</t>
  </si>
  <si>
    <t>CHAR(64)</t>
  </si>
  <si>
    <t>消息类型发送频道配置</t>
  </si>
  <si>
    <t>notice_config</t>
  </si>
  <si>
    <t>type_</t>
  </si>
  <si>
    <t>消息类型</t>
  </si>
  <si>
    <t>CHAR(31)</t>
  </si>
  <si>
    <t>channel_</t>
  </si>
  <si>
    <t>消息频道</t>
  </si>
  <si>
    <t>CHAR(40)</t>
  </si>
  <si>
    <t>消息队列表</t>
  </si>
  <si>
    <t>notice_queue</t>
  </si>
  <si>
    <t>INT UNSIGNED</t>
  </si>
  <si>
    <t>user_</t>
  </si>
  <si>
    <t>接收用户</t>
  </si>
  <si>
    <t>接收方式</t>
  </si>
  <si>
    <t>args_</t>
  </si>
  <si>
    <t>参数</t>
  </si>
  <si>
    <t>VARCHAR(511)</t>
  </si>
  <si>
    <t>status_</t>
  </si>
  <si>
    <t>发送状态</t>
  </si>
  <si>
    <t>CHAR(10)</t>
  </si>
  <si>
    <t>时间</t>
  </si>
  <si>
    <t>send_date</t>
  </si>
  <si>
    <t>发送时间</t>
  </si>
  <si>
    <t>after_date</t>
  </si>
  <si>
    <t>在具体时间之后</t>
  </si>
  <si>
    <t>personal_calendar</t>
  </si>
  <si>
    <t>details</t>
  </si>
  <si>
    <t>VARCHAR(1000)</t>
  </si>
  <si>
    <t>start_date</t>
  </si>
  <si>
    <t>length</t>
  </si>
  <si>
    <t>start_time</t>
  </si>
  <si>
    <t>TIME</t>
  </si>
  <si>
    <t>end_time</t>
  </si>
  <si>
    <t>background_color</t>
  </si>
  <si>
    <t>text_color</t>
  </si>
  <si>
    <t>office_calendar_user_id_start_date</t>
  </si>
  <si>
    <t>personal_message</t>
  </si>
  <si>
    <t>sender_id</t>
  </si>
  <si>
    <t>receiver_id</t>
  </si>
  <si>
    <t>sender_state</t>
  </si>
  <si>
    <t>VARCHAR(20)</t>
  </si>
  <si>
    <t>sender_state_change_date</t>
  </si>
  <si>
    <t>receiver_state</t>
  </si>
  <si>
    <t>receiver_state_change_date</t>
  </si>
  <si>
    <t>is_replied</t>
  </si>
  <si>
    <t>idx_personal_message_receiver_id_receiver_state</t>
  </si>
  <si>
    <t>idx_personal_message_sender_id_sender_state</t>
  </si>
  <si>
    <t>idx_personal_message_type</t>
  </si>
  <si>
    <t>idx_personal_parent_id</t>
  </si>
  <si>
    <t>idx_personal_parent_ids</t>
  </si>
  <si>
    <t>idx_personal_receiver_state_change_date</t>
  </si>
  <si>
    <t>idx_personal_sender_state_change_date</t>
  </si>
  <si>
    <t>personal_message_content</t>
  </si>
  <si>
    <t>message_id</t>
  </si>
  <si>
    <t>LONGTEXT</t>
  </si>
  <si>
    <t>idx_personal_message_content_message_id</t>
  </si>
  <si>
    <t>sys_auth</t>
  </si>
  <si>
    <t>organization_id</t>
  </si>
  <si>
    <t>job_id</t>
  </si>
  <si>
    <t>group_id</t>
  </si>
  <si>
    <t>role_ids</t>
  </si>
  <si>
    <t>idx_sys_auth_group</t>
  </si>
  <si>
    <t>idx_sys_auth_job</t>
  </si>
  <si>
    <t>idx_sys_auth_organization</t>
  </si>
  <si>
    <t>idx_sys_auth_type</t>
  </si>
  <si>
    <t>idx_sys_auth_user</t>
  </si>
  <si>
    <t>sys_dict</t>
  </si>
  <si>
    <t>ID</t>
  </si>
  <si>
    <t>type_code</t>
  </si>
  <si>
    <t>字典类型编码</t>
  </si>
  <si>
    <t>dict_code</t>
  </si>
  <si>
    <t>字典编码</t>
  </si>
  <si>
    <t>dict_name</t>
  </si>
  <si>
    <t>字典名称</t>
  </si>
  <si>
    <t>VARCHAR(1024)</t>
  </si>
  <si>
    <t>list_order</t>
  </si>
  <si>
    <t>排序</t>
  </si>
  <si>
    <t>enable_</t>
  </si>
  <si>
    <t>是否启用</t>
  </si>
  <si>
    <t>sys_dict_cftronoc</t>
  </si>
  <si>
    <t>short_name</t>
  </si>
  <si>
    <t>英文简称</t>
  </si>
  <si>
    <t>tow_code</t>
  </si>
  <si>
    <t>两字符代码</t>
  </si>
  <si>
    <t>three_code</t>
  </si>
  <si>
    <t>三字符代码</t>
  </si>
  <si>
    <t>num_code</t>
  </si>
  <si>
    <t>数字代码</t>
  </si>
  <si>
    <t>all_name</t>
  </si>
  <si>
    <t>中文和英文全称</t>
  </si>
  <si>
    <t>中国语种字典表</t>
  </si>
  <si>
    <t>sys_dict_cocl</t>
  </si>
  <si>
    <t>code</t>
  </si>
  <si>
    <t>数字码</t>
  </si>
  <si>
    <t>名</t>
  </si>
  <si>
    <t>pingying</t>
  </si>
  <si>
    <t>拼音</t>
  </si>
  <si>
    <t>pingying_code</t>
  </si>
  <si>
    <t>拼音码</t>
  </si>
  <si>
    <t>字典表</t>
  </si>
  <si>
    <t>sys_dict_parent</t>
  </si>
  <si>
    <t>父级所有ID</t>
  </si>
  <si>
    <t>字典类型</t>
  </si>
  <si>
    <t>地区信息</t>
  </si>
  <si>
    <t>sys_dict_region</t>
  </si>
  <si>
    <t>地区ID</t>
  </si>
  <si>
    <t>父ID</t>
  </si>
  <si>
    <t>region_code</t>
  </si>
  <si>
    <t>地区编码</t>
  </si>
  <si>
    <t>CHAR(20)</t>
  </si>
  <si>
    <t>region_name</t>
  </si>
  <si>
    <t>地区名称</t>
  </si>
  <si>
    <t>VARCHAR(127)</t>
  </si>
  <si>
    <t>region_pinyin</t>
  </si>
  <si>
    <t>地区拼音</t>
  </si>
  <si>
    <t>region_type</t>
  </si>
  <si>
    <t>地区类型$国家 省 市 县 可扩展多国支持</t>
  </si>
  <si>
    <t>region_category</t>
  </si>
  <si>
    <t xml:space="preserve">省分类$中国 分 华北 华南 </t>
  </si>
  <si>
    <t>VARCHAR(63)</t>
  </si>
  <si>
    <t>depth_</t>
  </si>
  <si>
    <t>深度</t>
  </si>
  <si>
    <t>行业表</t>
  </si>
  <si>
    <t>sys_dict_trade</t>
  </si>
  <si>
    <t>编号</t>
  </si>
  <si>
    <t>code_</t>
  </si>
  <si>
    <t>行业编码</t>
  </si>
  <si>
    <t>name_</t>
  </si>
  <si>
    <t>行业名称</t>
  </si>
  <si>
    <t>事件分类表</t>
  </si>
  <si>
    <t>sys_events_class</t>
  </si>
  <si>
    <t>事件标题</t>
  </si>
  <si>
    <t>事件摘要</t>
  </si>
  <si>
    <t>事件内容</t>
  </si>
  <si>
    <t>事件图片</t>
  </si>
  <si>
    <t>发布人ID</t>
  </si>
  <si>
    <t>organ_id</t>
  </si>
  <si>
    <t>发布志愿组织ID</t>
  </si>
  <si>
    <t>user_type</t>
  </si>
  <si>
    <t>发布人类型</t>
  </si>
  <si>
    <t>contact_man</t>
  </si>
  <si>
    <t>联系人姓名</t>
  </si>
  <si>
    <t>contact_phone</t>
  </si>
  <si>
    <t>联系人固定电话</t>
  </si>
  <si>
    <t>contact_mobile</t>
  </si>
  <si>
    <t>联系人移动电话</t>
  </si>
  <si>
    <t>contact_email</t>
  </si>
  <si>
    <t>联系人电子邮箱</t>
  </si>
  <si>
    <t>审核状态</t>
  </si>
  <si>
    <t>check_date</t>
  </si>
  <si>
    <t>审核时间</t>
  </si>
  <si>
    <t>check_id</t>
  </si>
  <si>
    <t>审核用户id</t>
  </si>
  <si>
    <t>state</t>
  </si>
  <si>
    <t>状态</t>
  </si>
  <si>
    <t>建议反馈表</t>
  </si>
  <si>
    <t>sys_feedback</t>
  </si>
  <si>
    <t>留言姓名</t>
  </si>
  <si>
    <t>邮箱</t>
  </si>
  <si>
    <t>mobile_</t>
  </si>
  <si>
    <t>电话</t>
  </si>
  <si>
    <t>opinion_</t>
  </si>
  <si>
    <t>意见内容</t>
  </si>
  <si>
    <t>留言时间</t>
  </si>
  <si>
    <t>object_id</t>
  </si>
  <si>
    <t>process_id</t>
  </si>
  <si>
    <t>处理人id</t>
  </si>
  <si>
    <t>process_result</t>
  </si>
  <si>
    <t>处理结果</t>
  </si>
  <si>
    <t>process_date</t>
  </si>
  <si>
    <t>处理时间</t>
  </si>
  <si>
    <t>sys_group</t>
  </si>
  <si>
    <t>default_group</t>
  </si>
  <si>
    <t>idx_sys_group_default_group</t>
  </si>
  <si>
    <t>idx_sys_group_show</t>
  </si>
  <si>
    <t>idx_sys_group_type</t>
  </si>
  <si>
    <t>sys_group_relation</t>
  </si>
  <si>
    <t>start_user_id</t>
  </si>
  <si>
    <t>end_user_id</t>
  </si>
  <si>
    <t>idx_sys_group_relation_end_user_id</t>
  </si>
  <si>
    <t>idx_sys_group_relation_group</t>
  </si>
  <si>
    <t>idx_sys_group_relation_organization</t>
  </si>
  <si>
    <t>idx_sys_group_relation_start_user_id</t>
  </si>
  <si>
    <t>idx_sys_group_relation_user</t>
  </si>
  <si>
    <t>sys_job</t>
  </si>
  <si>
    <t>icon</t>
  </si>
  <si>
    <t>weight</t>
  </si>
  <si>
    <t>idx_sys_job_nam</t>
  </si>
  <si>
    <t>idx_sys_job_parent_id</t>
  </si>
  <si>
    <t>idx_sys_job_parent_ids_weight</t>
  </si>
  <si>
    <t>sys_logs</t>
  </si>
  <si>
    <t>method</t>
  </si>
  <si>
    <t>params</t>
  </si>
  <si>
    <t>VARCHAR(2047)</t>
  </si>
  <si>
    <t>returns</t>
  </si>
  <si>
    <t>组织机构表</t>
  </si>
  <si>
    <t>sys_organization</t>
  </si>
  <si>
    <t>组织机构ID</t>
  </si>
  <si>
    <t>组织机构名称</t>
  </si>
  <si>
    <t>显示图标</t>
  </si>
  <si>
    <t>级别</t>
  </si>
  <si>
    <t>权重</t>
  </si>
  <si>
    <t>org_code</t>
  </si>
  <si>
    <t>组织机构代码</t>
  </si>
  <si>
    <t>联系人</t>
  </si>
  <si>
    <t>联系电话</t>
  </si>
  <si>
    <t>手机</t>
  </si>
  <si>
    <t>address_</t>
  </si>
  <si>
    <t>地址</t>
  </si>
  <si>
    <t>region_</t>
  </si>
  <si>
    <t>组织区域</t>
  </si>
  <si>
    <t>photo_</t>
  </si>
  <si>
    <t>组织logo</t>
  </si>
  <si>
    <t>组织介绍</t>
  </si>
  <si>
    <t>VARCHAR(4000)</t>
  </si>
  <si>
    <t>is_last</t>
  </si>
  <si>
    <t>是否为志愿组织</t>
  </si>
  <si>
    <t>is_civilized</t>
  </si>
  <si>
    <t>是否为文明单位</t>
  </si>
  <si>
    <t>volunteer_target</t>
  </si>
  <si>
    <t>志愿者数目标</t>
  </si>
  <si>
    <t>volunteer_nums</t>
  </si>
  <si>
    <t>志愿者数</t>
  </si>
  <si>
    <t>activity_target</t>
  </si>
  <si>
    <t>本年志愿活动数目标</t>
  </si>
  <si>
    <t>avtivity_nums</t>
  </si>
  <si>
    <t>本年志愿活动数</t>
  </si>
  <si>
    <t>total_hours</t>
  </si>
  <si>
    <t>志愿服务时间数</t>
  </si>
  <si>
    <t>organ_nums</t>
  </si>
  <si>
    <t>志愿组织数</t>
  </si>
  <si>
    <t>volunteer_complete_rate</t>
  </si>
  <si>
    <t>志愿者数完成率</t>
  </si>
  <si>
    <t>FLOAT</t>
  </si>
  <si>
    <t>activity_complete_rate</t>
  </si>
  <si>
    <t>志愿活动完成率</t>
  </si>
  <si>
    <t>per_volunteer_serviceHour</t>
  </si>
  <si>
    <t>人均服务时间</t>
  </si>
  <si>
    <t>max_rating</t>
  </si>
  <si>
    <t>可评定的志愿者星级上限</t>
  </si>
  <si>
    <t>idx_sys_organization_name</t>
  </si>
  <si>
    <t>idx_sys_organization_parent_id</t>
  </si>
  <si>
    <t>idx_sys_organization_parent_ids_weight</t>
  </si>
  <si>
    <t>idx_sys_organization_type</t>
  </si>
  <si>
    <t>sys_permission</t>
  </si>
  <si>
    <t>permission</t>
  </si>
  <si>
    <t>idx_sys_permission_name</t>
  </si>
  <si>
    <t>idx_sys_permission_permission</t>
  </si>
  <si>
    <t>idx_sys_permission_show</t>
  </si>
  <si>
    <t>sys_resource</t>
  </si>
  <si>
    <t>url</t>
  </si>
  <si>
    <t>idx_sys_resource_identity</t>
  </si>
  <si>
    <t>idx_sys_resource_name</t>
  </si>
  <si>
    <t>idx_sys_resource_parent_id</t>
  </si>
  <si>
    <t>idx_sys_resource_parent_ids_weight</t>
  </si>
  <si>
    <t>idx_sys_resource_user</t>
  </si>
  <si>
    <t>sys_role</t>
  </si>
  <si>
    <t>role</t>
  </si>
  <si>
    <t>idx_sys_role_name</t>
  </si>
  <si>
    <t>idx_sys_role_role</t>
  </si>
  <si>
    <t>idx_sys_role_show</t>
  </si>
  <si>
    <t>sys_role_resource_permission</t>
  </si>
  <si>
    <t>role_id</t>
  </si>
  <si>
    <t>resource_id</t>
  </si>
  <si>
    <t>permission_ids</t>
  </si>
  <si>
    <t>unique_sys_role_resource_permission</t>
  </si>
  <si>
    <t>平台配置表</t>
  </si>
  <si>
    <t>sys_settings</t>
  </si>
  <si>
    <t>配置ID</t>
  </si>
  <si>
    <t>系统名称</t>
  </si>
  <si>
    <t>web_url</t>
  </si>
  <si>
    <t>网站域名地址</t>
  </si>
  <si>
    <t>运行状态</t>
  </si>
  <si>
    <t>keyword_</t>
  </si>
  <si>
    <t>关键词</t>
  </si>
  <si>
    <t>copyright_</t>
  </si>
  <si>
    <t>版权信息</t>
  </si>
  <si>
    <t>statement_</t>
  </si>
  <si>
    <t>申明</t>
  </si>
  <si>
    <t>突发事件表</t>
  </si>
  <si>
    <t>sys_urgent_message</t>
  </si>
  <si>
    <t>sys_user</t>
  </si>
  <si>
    <t>username</t>
  </si>
  <si>
    <t>email</t>
  </si>
  <si>
    <t>mobile_phone_number</t>
  </si>
  <si>
    <t>password</t>
  </si>
  <si>
    <t>salt</t>
  </si>
  <si>
    <t>VARCHAR(10)</t>
  </si>
  <si>
    <t>admin</t>
  </si>
  <si>
    <t>real_name</t>
  </si>
  <si>
    <t>open_id</t>
  </si>
  <si>
    <t>CHAR(29)</t>
  </si>
  <si>
    <t>subscribe</t>
  </si>
  <si>
    <t>idx_sys_user_status</t>
  </si>
  <si>
    <t>unique_sys_user_email</t>
  </si>
  <si>
    <t>unique_sys_user_mobile_phone_number</t>
  </si>
  <si>
    <t>unique_sys_user_username</t>
  </si>
  <si>
    <t>sys_user_last_online</t>
  </si>
  <si>
    <t>uid</t>
  </si>
  <si>
    <t>host</t>
  </si>
  <si>
    <t>user_agent</t>
  </si>
  <si>
    <t>system_host</t>
  </si>
  <si>
    <t>last_login_timestamp</t>
  </si>
  <si>
    <t>last_stop_timestamp</t>
  </si>
  <si>
    <t>login_count</t>
  </si>
  <si>
    <t>total_online_time</t>
  </si>
  <si>
    <t>idx_sys_user_last_online_host</t>
  </si>
  <si>
    <t>idx_sys_user_last_online_last_login_timestamp</t>
  </si>
  <si>
    <t>idx_sys_user_last_online_last_stop_timestamp</t>
  </si>
  <si>
    <t>idx_sys_user_last_online_system_host</t>
  </si>
  <si>
    <t>idx_sys_user_last_online_user_agent</t>
  </si>
  <si>
    <t>idx_sys_user_last_online_username</t>
  </si>
  <si>
    <t>unique_sys_user_last_online_sys_user_id</t>
  </si>
  <si>
    <t>sys_user_online</t>
  </si>
  <si>
    <t>start_timestsamp</t>
  </si>
  <si>
    <t>last_access_time</t>
  </si>
  <si>
    <t>timeout</t>
  </si>
  <si>
    <t>session</t>
  </si>
  <si>
    <t>MEDIUMTEXT</t>
  </si>
  <si>
    <t>idx_sys_user_online_host</t>
  </si>
  <si>
    <t>idx_sys_user_online_last_access_time</t>
  </si>
  <si>
    <t>idx_sys_user_online_start_timestsamp</t>
  </si>
  <si>
    <t>idx_sys_user_online_sys_user_id</t>
  </si>
  <si>
    <t>idx_sys_user_online_system_host</t>
  </si>
  <si>
    <t>idx_sys_user_online_user_agent</t>
  </si>
  <si>
    <t>idx_sys_user_online_username</t>
  </si>
  <si>
    <t>sys_user_organization_job</t>
  </si>
  <si>
    <t>unique_sys_user_organization_job</t>
  </si>
  <si>
    <t>sys_user_status_history</t>
  </si>
  <si>
    <t>reason</t>
  </si>
  <si>
    <t>op_user_id</t>
  </si>
  <si>
    <t>op_date</t>
  </si>
  <si>
    <t>idx_sys_user_block_history_op_user_id_op_date</t>
  </si>
  <si>
    <t>idx_sys_user_block_history_user_id_block_date</t>
  </si>
  <si>
    <t>志愿服务活动表</t>
  </si>
  <si>
    <t>vt_activity</t>
  </si>
  <si>
    <t>project_no</t>
  </si>
  <si>
    <t>项目服务项目编号</t>
  </si>
  <si>
    <t>no_</t>
  </si>
  <si>
    <t>活动编号</t>
  </si>
  <si>
    <t>活动名称</t>
  </si>
  <si>
    <t>category_</t>
  </si>
  <si>
    <t>活动类别</t>
  </si>
  <si>
    <t>CHAR(2)</t>
  </si>
  <si>
    <t>所属志愿团体编号</t>
  </si>
  <si>
    <t>organ_ids</t>
  </si>
  <si>
    <t>组织机构id串方便进行穿透查询</t>
  </si>
  <si>
    <t>活动开始日期</t>
  </si>
  <si>
    <t>活动结束日期</t>
  </si>
  <si>
    <t>活动预算成本来源类型Notes</t>
  </si>
  <si>
    <t>source_type_money</t>
  </si>
  <si>
    <t>活动预算成本各来源类型金额</t>
  </si>
  <si>
    <t>total_cost</t>
  </si>
  <si>
    <t>活动预算总成本</t>
  </si>
  <si>
    <t>service_mode</t>
  </si>
  <si>
    <t>服务方式Notes</t>
  </si>
  <si>
    <t>service_area</t>
  </si>
  <si>
    <t>服务区域</t>
  </si>
  <si>
    <t>service_address</t>
  </si>
  <si>
    <t>服务详细地点</t>
  </si>
  <si>
    <t>service_object</t>
  </si>
  <si>
    <t>服务对象</t>
  </si>
  <si>
    <t>plan_service_num</t>
  </si>
  <si>
    <t>计划服务人数</t>
  </si>
  <si>
    <t>活动简要描述</t>
  </si>
  <si>
    <t>post_name</t>
  </si>
  <si>
    <t>招募岗位名称?Mutli</t>
  </si>
  <si>
    <t>post_num</t>
  </si>
  <si>
    <t>招募岗位人数?Mutli</t>
  </si>
  <si>
    <t>post_intro</t>
  </si>
  <si>
    <t>招募岗位描述?Mutli</t>
  </si>
  <si>
    <t>post_condition</t>
  </si>
  <si>
    <t>招募岗位条件?Mutli</t>
  </si>
  <si>
    <t>safeguard_</t>
  </si>
  <si>
    <t>志愿者保障?Mutli</t>
  </si>
  <si>
    <t>service_time</t>
  </si>
  <si>
    <t>志愿服务时间</t>
  </si>
  <si>
    <t>apply_start_date</t>
  </si>
  <si>
    <t>志愿者报名开始日期</t>
  </si>
  <si>
    <t>apply_end_date</t>
  </si>
  <si>
    <t>志愿者报名结束日期</t>
  </si>
  <si>
    <t>contact_qrcode</t>
  </si>
  <si>
    <t>联系二维码</t>
  </si>
  <si>
    <t>real_person_trips</t>
  </si>
  <si>
    <t>实际服务人次</t>
  </si>
  <si>
    <t>service_hours</t>
  </si>
  <si>
    <t>活动累计志愿服务时间</t>
  </si>
  <si>
    <t>total_nums</t>
  </si>
  <si>
    <t>参与人数</t>
  </si>
  <si>
    <t>活动状态</t>
  </si>
  <si>
    <t>is_top</t>
  </si>
  <si>
    <t>是否推荐</t>
  </si>
  <si>
    <t>活动内容</t>
  </si>
  <si>
    <t>checked_enroll</t>
  </si>
  <si>
    <t>报名是否审核</t>
  </si>
  <si>
    <t>limit_num</t>
  </si>
  <si>
    <t>是否限制人数(0为不限止人数)</t>
  </si>
  <si>
    <t>organ_enroll</t>
  </si>
  <si>
    <t>是否仅本组织成员可报名</t>
  </si>
  <si>
    <t>发布活动用户ID</t>
  </si>
  <si>
    <t>longitude_</t>
  </si>
  <si>
    <t>经度</t>
  </si>
  <si>
    <t>geo_hash</t>
  </si>
  <si>
    <t>geohash值</t>
  </si>
  <si>
    <t>CHAR(16)</t>
  </si>
  <si>
    <t>latitude_</t>
  </si>
  <si>
    <t>纬度</t>
  </si>
  <si>
    <t>statistics_date</t>
  </si>
  <si>
    <t>统计时间字段，勿动</t>
  </si>
  <si>
    <t>DATETIME</t>
  </si>
  <si>
    <t>CURRENT_TIMESTAMP</t>
  </si>
  <si>
    <t>detail_address</t>
  </si>
  <si>
    <t>详细地址</t>
  </si>
  <si>
    <t>org_volunteer_enroll</t>
  </si>
  <si>
    <t>是否仅注册志愿者可报名</t>
  </si>
  <si>
    <t>用户活动收藏表</t>
  </si>
  <si>
    <t>vt_activity_coll</t>
  </si>
  <si>
    <t>activity_id</t>
  </si>
  <si>
    <t>活动id</t>
  </si>
  <si>
    <t>用户id</t>
  </si>
  <si>
    <t>activity_user</t>
  </si>
  <si>
    <t>活动评论表</t>
  </si>
  <si>
    <t>vt_activity_comment</t>
  </si>
  <si>
    <t>评论类型</t>
  </si>
  <si>
    <t>record_id</t>
  </si>
  <si>
    <t>心声id</t>
  </si>
  <si>
    <t>内容</t>
  </si>
  <si>
    <t>用户姓名</t>
  </si>
  <si>
    <t>审核通过</t>
  </si>
  <si>
    <t>reply_comment_id</t>
  </si>
  <si>
    <t>回复的评论id</t>
  </si>
  <si>
    <t>活动记录文件表</t>
  </si>
  <si>
    <t>vt_activity_files</t>
  </si>
  <si>
    <t>report_id</t>
  </si>
  <si>
    <t>活动总结ID</t>
  </si>
  <si>
    <t>活动记录ID</t>
  </si>
  <si>
    <t>second</t>
  </si>
  <si>
    <t>录音，视频文件持续时间</t>
  </si>
  <si>
    <t>file_path</t>
  </si>
  <si>
    <t>文件路径</t>
  </si>
  <si>
    <t>文件名</t>
  </si>
  <si>
    <t>file_type</t>
  </si>
  <si>
    <t>文件类型Enum</t>
  </si>
  <si>
    <t>is_default</t>
  </si>
  <si>
    <t>默认照片</t>
  </si>
  <si>
    <t>活动资讯表</t>
  </si>
  <si>
    <t>vt_activity_info</t>
  </si>
  <si>
    <t>标题</t>
  </si>
  <si>
    <t>click_num</t>
  </si>
  <si>
    <t>活动管理人员表</t>
  </si>
  <si>
    <t>vt_activity_manage</t>
  </si>
  <si>
    <t>role_</t>
  </si>
  <si>
    <t>管理角色Enum[组织,文档]</t>
  </si>
  <si>
    <t>活动位置地图表</t>
  </si>
  <si>
    <t>vt_activity_maps</t>
  </si>
  <si>
    <t>地图ID</t>
  </si>
  <si>
    <t>maps_type</t>
  </si>
  <si>
    <t>地图类型(地图提供者)(Google;Baidu...)</t>
  </si>
  <si>
    <t>level_</t>
  </si>
  <si>
    <t>缩放等级</t>
  </si>
  <si>
    <t>标记图标</t>
  </si>
  <si>
    <t>tag_</t>
  </si>
  <si>
    <t>标记名称</t>
  </si>
  <si>
    <t>message_</t>
  </si>
  <si>
    <t>标记内容</t>
  </si>
  <si>
    <t>活动评价表</t>
  </si>
  <si>
    <t>vt_activity_rate</t>
  </si>
  <si>
    <t>类型Enum[对活动/对志愿者]</t>
  </si>
  <si>
    <t>grade_</t>
  </si>
  <si>
    <t>打分</t>
  </si>
  <si>
    <t>target_user_id</t>
  </si>
  <si>
    <t>被评价用户id</t>
  </si>
  <si>
    <t>specialty_</t>
  </si>
  <si>
    <t>专业水平</t>
  </si>
  <si>
    <t>service_</t>
  </si>
  <si>
    <t>服务态度</t>
  </si>
  <si>
    <t>keep_time</t>
  </si>
  <si>
    <t>守时程度</t>
  </si>
  <si>
    <t>活动记录表</t>
  </si>
  <si>
    <t>vt_activity_record</t>
  </si>
  <si>
    <t>read_num</t>
  </si>
  <si>
    <t>审核</t>
  </si>
  <si>
    <t>project_id</t>
  </si>
  <si>
    <t>项目id</t>
  </si>
  <si>
    <t>活动报表</t>
  </si>
  <si>
    <t>vt_activity_report</t>
  </si>
  <si>
    <t>会议点击数</t>
  </si>
  <si>
    <t>signup_num</t>
  </si>
  <si>
    <t>报名数</t>
  </si>
  <si>
    <t>signin_num</t>
  </si>
  <si>
    <t>签到数</t>
  </si>
  <si>
    <t>活动参与表</t>
  </si>
  <si>
    <t>vt_activity_sign</t>
  </si>
  <si>
    <t>state_</t>
  </si>
  <si>
    <t>状态[签到_0/签退_1]</t>
  </si>
  <si>
    <t>活动报名表</t>
  </si>
  <si>
    <t>vt_activity_signup</t>
  </si>
  <si>
    <t>真实姓名</t>
  </si>
  <si>
    <t>img_</t>
  </si>
  <si>
    <t>用户头像图片</t>
  </si>
  <si>
    <t>ip_</t>
  </si>
  <si>
    <t>ip地址</t>
  </si>
  <si>
    <t>用户参与活动状态</t>
  </si>
  <si>
    <t>is_review</t>
  </si>
  <si>
    <t>是否评价</t>
  </si>
  <si>
    <t>PK_ACTIVITYPRIMARY</t>
  </si>
  <si>
    <t>vt_activity_sign_address</t>
  </si>
  <si>
    <t>serviceAddress</t>
  </si>
  <si>
    <t>活动模板表</t>
  </si>
  <si>
    <t>vt_activity_template</t>
  </si>
  <si>
    <t>模板id</t>
  </si>
  <si>
    <t>类型Enum[活动内容/邀请函]</t>
  </si>
  <si>
    <t>模板标题</t>
  </si>
  <si>
    <t>模板图片</t>
  </si>
  <si>
    <t>path_</t>
  </si>
  <si>
    <t>模板路径</t>
  </si>
  <si>
    <t>use_num</t>
  </si>
  <si>
    <t>引用数</t>
  </si>
  <si>
    <t>志愿服务证书信息表</t>
  </si>
  <si>
    <t>vt_certificate</t>
  </si>
  <si>
    <t>志愿服务证书编号Notes</t>
  </si>
  <si>
    <t>CHAR(32)</t>
  </si>
  <si>
    <t>姓名</t>
  </si>
  <si>
    <t>card_type</t>
  </si>
  <si>
    <t>证件类型</t>
  </si>
  <si>
    <t>CHAR(1)</t>
  </si>
  <si>
    <t>card_no</t>
  </si>
  <si>
    <t>证件号码</t>
  </si>
  <si>
    <t>近期正面免冠证件照片</t>
  </si>
  <si>
    <t>code_vt</t>
  </si>
  <si>
    <t>志愿者统一编号Notes</t>
  </si>
  <si>
    <t>CHAR(18)</t>
  </si>
  <si>
    <t>service_hour</t>
  </si>
  <si>
    <t>project_name</t>
  </si>
  <si>
    <t>对应志愿服务项目名称</t>
  </si>
  <si>
    <t>organ_name</t>
  </si>
  <si>
    <t>颁发志愿团体名称</t>
  </si>
  <si>
    <t>organ_seal</t>
  </si>
  <si>
    <t>颁发志愿团体印章</t>
  </si>
  <si>
    <t>issue_date</t>
  </si>
  <si>
    <t>颁发日期</t>
  </si>
  <si>
    <t>pub_start_date</t>
  </si>
  <si>
    <t>公示开始日期</t>
  </si>
  <si>
    <t>pub_end_date</t>
  </si>
  <si>
    <t>公示结束日期</t>
  </si>
  <si>
    <t>comment_</t>
  </si>
  <si>
    <t>审核信息表</t>
  </si>
  <si>
    <t>vt_check</t>
  </si>
  <si>
    <t>审核类型 Notes</t>
  </si>
  <si>
    <t>组织ID(审核项所属组织的上一级组织)</t>
  </si>
  <si>
    <t>对应审核内容</t>
  </si>
  <si>
    <t>check_address</t>
  </si>
  <si>
    <t>审核内容地址</t>
  </si>
  <si>
    <t>date_</t>
  </si>
  <si>
    <t>审核日期</t>
  </si>
  <si>
    <t>cycle_</t>
  </si>
  <si>
    <t>审核周期</t>
  </si>
  <si>
    <t>审核状态 Notes</t>
  </si>
  <si>
    <t>审核意见</t>
  </si>
  <si>
    <t>审核人ID</t>
  </si>
  <si>
    <t>type_item_id</t>
  </si>
  <si>
    <t>审核项ID</t>
  </si>
  <si>
    <t>typeOrganIdStateCreateDate</t>
  </si>
  <si>
    <t>typeOrganidState</t>
  </si>
  <si>
    <t>表彰奖励信息表</t>
  </si>
  <si>
    <t>vt_commend</t>
  </si>
  <si>
    <t>date_gain</t>
  </si>
  <si>
    <t>获得日期</t>
  </si>
  <si>
    <t>getter_</t>
  </si>
  <si>
    <t>表彰奖励获得者 1-N</t>
  </si>
  <si>
    <t>表彰奖励名称</t>
  </si>
  <si>
    <t>writ_</t>
  </si>
  <si>
    <t>表彰奖励文书名称及文号</t>
  </si>
  <si>
    <t>表彰奖励内容</t>
  </si>
  <si>
    <t>issue_</t>
  </si>
  <si>
    <t>表彰奖励颁发者</t>
  </si>
  <si>
    <t>vt_commonweal_project</t>
  </si>
  <si>
    <t>项目名称</t>
  </si>
  <si>
    <t>项目简介</t>
  </si>
  <si>
    <t>planned_performance</t>
  </si>
  <si>
    <t>预期成效</t>
  </si>
  <si>
    <t>expenditure_</t>
  </si>
  <si>
    <t>项目所需经费总数</t>
  </si>
  <si>
    <t>DECIMAL(8,2)</t>
  </si>
  <si>
    <t>order_</t>
  </si>
  <si>
    <t>评价投诉信息表</t>
  </si>
  <si>
    <t>vt_complain</t>
  </si>
  <si>
    <t>评价投诉对象</t>
  </si>
  <si>
    <t>评价投诉内容</t>
  </si>
  <si>
    <t>owner_</t>
  </si>
  <si>
    <t>评价投诉方</t>
  </si>
  <si>
    <t>pub_time</t>
  </si>
  <si>
    <t>评价投诉时间</t>
  </si>
  <si>
    <t>处理状态Notes</t>
  </si>
  <si>
    <t>处理志愿团体ID</t>
  </si>
  <si>
    <t>处理志愿团体名称</t>
  </si>
  <si>
    <t>处理意见</t>
  </si>
  <si>
    <t>process_time</t>
  </si>
  <si>
    <t>统计表</t>
  </si>
  <si>
    <t>vt_count</t>
  </si>
  <si>
    <t>统计数据类型</t>
  </si>
  <si>
    <t>number</t>
  </si>
  <si>
    <t>统计总数</t>
  </si>
  <si>
    <t>公益项目证明表</t>
  </si>
  <si>
    <t>vt_donor_attest</t>
  </si>
  <si>
    <t>item_id</t>
  </si>
  <si>
    <t>捐助项目id</t>
  </si>
  <si>
    <t>relation_</t>
  </si>
  <si>
    <t>与受助者关系 Note</t>
  </si>
  <si>
    <t>情况介绍</t>
  </si>
  <si>
    <t>公益捐助项目分类表</t>
  </si>
  <si>
    <t>vt_donor_class</t>
  </si>
  <si>
    <t>分类名称 note</t>
  </si>
  <si>
    <t>分类简介</t>
  </si>
  <si>
    <t>item_count</t>
  </si>
  <si>
    <t>项目数量</t>
  </si>
  <si>
    <t>公益捐助项目发起单位表</t>
  </si>
  <si>
    <t>vt_donor_department</t>
  </si>
  <si>
    <t>单位名称</t>
  </si>
  <si>
    <t>单位简介</t>
  </si>
  <si>
    <t>发起项目数量</t>
  </si>
  <si>
    <t>money_count</t>
  </si>
  <si>
    <t>筹款钱数</t>
  </si>
  <si>
    <t>0.00</t>
  </si>
  <si>
    <t>公益捐助项目表</t>
  </si>
  <si>
    <t>vt_donor_item</t>
  </si>
  <si>
    <t>项目ID</t>
  </si>
  <si>
    <t>活动ID</t>
  </si>
  <si>
    <t>department_id</t>
  </si>
  <si>
    <t>发起组织ID</t>
  </si>
  <si>
    <t>分类ID</t>
  </si>
  <si>
    <t>项目图片</t>
  </si>
  <si>
    <t>简要描述</t>
  </si>
  <si>
    <t>活动说明</t>
  </si>
  <si>
    <t>money_target</t>
  </si>
  <si>
    <t>捐助目标</t>
  </si>
  <si>
    <t>捐助钱数</t>
  </si>
  <si>
    <t>donor_count</t>
  </si>
  <si>
    <t>捐助人次</t>
  </si>
  <si>
    <t>捐赠项目开始时间</t>
  </si>
  <si>
    <t>捐赠项目结束时间</t>
  </si>
  <si>
    <t>项目状态Enum</t>
  </si>
  <si>
    <t>公益项目捐款表</t>
  </si>
  <si>
    <t>vt_donor_join</t>
  </si>
  <si>
    <t>money_</t>
  </si>
  <si>
    <t>金额</t>
  </si>
  <si>
    <t>捐款附言</t>
  </si>
  <si>
    <t>order_sn</t>
  </si>
  <si>
    <t>订单号</t>
  </si>
  <si>
    <t>是否支付完成</t>
  </si>
  <si>
    <t>捐赠时间</t>
  </si>
  <si>
    <t>公益项目现场记录表</t>
  </si>
  <si>
    <t>vt_donor_record</t>
  </si>
  <si>
    <t>文字记录</t>
  </si>
  <si>
    <t>公益项目现场记录文件表</t>
  </si>
  <si>
    <t>vt_donor_record_files</t>
  </si>
  <si>
    <t>记录id</t>
  </si>
  <si>
    <t>公益项目捐助报告表</t>
  </si>
  <si>
    <t>vt_donor_report</t>
  </si>
  <si>
    <t>详情</t>
  </si>
  <si>
    <t>记录文件表</t>
  </si>
  <si>
    <t>vt_files</t>
  </si>
  <si>
    <t>类型项ID</t>
  </si>
  <si>
    <t>用户评论表</t>
  </si>
  <si>
    <t>vt_general_comment</t>
  </si>
  <si>
    <t>通用心声表</t>
  </si>
  <si>
    <t>vt_general_voice</t>
  </si>
  <si>
    <t>心声类型</t>
  </si>
  <si>
    <t>心声项ID</t>
  </si>
  <si>
    <t>志愿组织信息表</t>
  </si>
  <si>
    <t>vt_organ</t>
  </si>
  <si>
    <t>志愿团体名称</t>
  </si>
  <si>
    <t>org_id</t>
  </si>
  <si>
    <t>志愿团体编号</t>
  </si>
  <si>
    <t>code_parent</t>
  </si>
  <si>
    <t>上级志愿团体编号</t>
  </si>
  <si>
    <t>register_state</t>
  </si>
  <si>
    <t>登记/备案情况Notes</t>
  </si>
  <si>
    <t>register_certificate</t>
  </si>
  <si>
    <t>登记/备案证书复印件Url</t>
  </si>
  <si>
    <t>register_organ</t>
  </si>
  <si>
    <t>登记/备案机构</t>
  </si>
  <si>
    <t>志愿团体印章Url</t>
  </si>
  <si>
    <t>company_</t>
  </si>
  <si>
    <t>所在单位</t>
  </si>
  <si>
    <t>company_nature</t>
  </si>
  <si>
    <t>所在单位性质</t>
  </si>
  <si>
    <t>area_</t>
  </si>
  <si>
    <t>所在区域</t>
  </si>
  <si>
    <t>register_date</t>
  </si>
  <si>
    <t>成立日期</t>
  </si>
  <si>
    <t>people_num</t>
  </si>
  <si>
    <t>团体人数</t>
  </si>
  <si>
    <t>团体简要描述</t>
  </si>
  <si>
    <t>服务对象?Multi</t>
  </si>
  <si>
    <t>service_class</t>
  </si>
  <si>
    <t>服务类别</t>
  </si>
  <si>
    <t>团体累计志愿服务时间</t>
  </si>
  <si>
    <t>apply_id</t>
  </si>
  <si>
    <t>申请人ID</t>
  </si>
  <si>
    <t>apply_date</t>
  </si>
  <si>
    <t>申请时间</t>
  </si>
  <si>
    <t>is_register</t>
  </si>
  <si>
    <t>是否注册志愿组织</t>
  </si>
  <si>
    <t>notreview</t>
  </si>
  <si>
    <t>total_activitys</t>
  </si>
  <si>
    <t>累计活动数</t>
  </si>
  <si>
    <t>志愿团体状态 normal("正常状态"), blocked("封禁状态"),recommend(推荐状态);</t>
  </si>
  <si>
    <t>normal</t>
  </si>
  <si>
    <t>rating_</t>
  </si>
  <si>
    <t>组织星级</t>
  </si>
  <si>
    <t>rewrite_community</t>
  </si>
  <si>
    <t>是否可以自主修改组织所属区域</t>
  </si>
  <si>
    <t>vt_organ1</t>
  </si>
  <si>
    <t>是否可以修改社区</t>
  </si>
  <si>
    <t>社区邀请组织记录表</t>
  </si>
  <si>
    <t>vt_organ_invite</t>
  </si>
  <si>
    <t>community_organ_id</t>
  </si>
  <si>
    <t>社区id</t>
  </si>
  <si>
    <t>组织id</t>
  </si>
  <si>
    <t>操作人id</t>
  </si>
  <si>
    <t>organ_user_id</t>
  </si>
  <si>
    <t>组织管理员id</t>
  </si>
  <si>
    <t>deal_date</t>
  </si>
  <si>
    <t>community_organ</t>
  </si>
  <si>
    <t>志愿团体加入表</t>
  </si>
  <si>
    <t>vt_organ_join</t>
  </si>
  <si>
    <t>组织机构码</t>
  </si>
  <si>
    <t>PK_ORGAN</t>
  </si>
  <si>
    <t>PK_ORGANPRIMARY</t>
  </si>
  <si>
    <t>PK_ORGAN_ID</t>
  </si>
  <si>
    <t>PK_USER_ID</t>
  </si>
  <si>
    <t>志愿组织管理人员表</t>
  </si>
  <si>
    <t>vt_organ_manage</t>
  </si>
  <si>
    <t>管理角色Enum[全部/审核]</t>
  </si>
  <si>
    <t>is_admin</t>
  </si>
  <si>
    <t>支付接口日志表</t>
  </si>
  <si>
    <t>vt_pay_log</t>
  </si>
  <si>
    <t>order_id</t>
  </si>
  <si>
    <t>amount_</t>
  </si>
  <si>
    <t>amount_desc</t>
  </si>
  <si>
    <t>款项说明</t>
  </si>
  <si>
    <t>reason_</t>
  </si>
  <si>
    <t>原因</t>
  </si>
  <si>
    <t>trade_no</t>
  </si>
  <si>
    <t>支付平台流水号</t>
  </si>
  <si>
    <t>u_id</t>
  </si>
  <si>
    <t>detail_data</t>
  </si>
  <si>
    <t>付款详细数据</t>
  </si>
  <si>
    <t>batch_num</t>
  </si>
  <si>
    <t>总笔数</t>
  </si>
  <si>
    <t>notify_id</t>
  </si>
  <si>
    <t>通知校验ID</t>
  </si>
  <si>
    <t>志愿服务项目信息表</t>
  </si>
  <si>
    <t>vt_project</t>
  </si>
  <si>
    <t>志愿服务项目编号</t>
  </si>
  <si>
    <t>项目类别</t>
  </si>
  <si>
    <t>项目图标</t>
  </si>
  <si>
    <t>CHAR(128)</t>
  </si>
  <si>
    <t>项目开始日期</t>
  </si>
  <si>
    <t>项目结束日期</t>
  </si>
  <si>
    <t>项目预算成本来源类型Notes</t>
  </si>
  <si>
    <t>项目预算成本各来源类型金额</t>
  </si>
  <si>
    <t>项目预算总成本</t>
  </si>
  <si>
    <t>相关志愿活动数</t>
  </si>
  <si>
    <t>CHAR(9)</t>
  </si>
  <si>
    <t>项目简要描述</t>
  </si>
  <si>
    <t>项目累计志愿服务时间</t>
  </si>
  <si>
    <t>申请组织ID</t>
  </si>
  <si>
    <t>guide_information</t>
  </si>
  <si>
    <t>项目指导信息数</t>
  </si>
  <si>
    <t>participat_num</t>
  </si>
  <si>
    <t>项目参与人数</t>
  </si>
  <si>
    <t>organ_num</t>
  </si>
  <si>
    <t>参与组织数</t>
  </si>
  <si>
    <t>service_avgtime</t>
  </si>
  <si>
    <t>人均服务时长</t>
  </si>
  <si>
    <t>项目动态表</t>
  </si>
  <si>
    <t>vt_project_trends</t>
  </si>
  <si>
    <t>活动项目id</t>
  </si>
  <si>
    <t>动态标题</t>
  </si>
  <si>
    <t>动态内容</t>
  </si>
  <si>
    <t>动态图片</t>
  </si>
  <si>
    <t>动态摘要</t>
  </si>
  <si>
    <t>培训题库表</t>
  </si>
  <si>
    <t>vt_questions</t>
  </si>
  <si>
    <t>题目</t>
  </si>
  <si>
    <t>问题类型</t>
  </si>
  <si>
    <t>correct_</t>
  </si>
  <si>
    <t>正确选项</t>
  </si>
  <si>
    <t>score_</t>
  </si>
  <si>
    <t>分值</t>
  </si>
  <si>
    <t>志愿者答题记录</t>
  </si>
  <si>
    <t>vt_question_logs</t>
  </si>
  <si>
    <t>train_id</t>
  </si>
  <si>
    <t>培训id</t>
  </si>
  <si>
    <t>questions_id</t>
  </si>
  <si>
    <t>问题id</t>
  </si>
  <si>
    <t>答题的志愿者id</t>
  </si>
  <si>
    <t>answer_</t>
  </si>
  <si>
    <t>答案</t>
  </si>
  <si>
    <t>right_</t>
  </si>
  <si>
    <t>是否正确</t>
  </si>
  <si>
    <t>得分</t>
  </si>
  <si>
    <t>train_join_id</t>
  </si>
  <si>
    <t>完成的培训id</t>
  </si>
  <si>
    <t>题目选项表</t>
  </si>
  <si>
    <t>vt_question_option</t>
  </si>
  <si>
    <t>问题的id</t>
  </si>
  <si>
    <t>key_</t>
  </si>
  <si>
    <t>答案编号</t>
  </si>
  <si>
    <t>value_</t>
  </si>
  <si>
    <t>答案内容</t>
  </si>
  <si>
    <t>是否正确答案</t>
  </si>
  <si>
    <t>questions</t>
  </si>
  <si>
    <t>排行表</t>
  </si>
  <si>
    <t>vt_rank</t>
  </si>
  <si>
    <t>rank_type</t>
  </si>
  <si>
    <t>排行类型，1代表组织排行，2代表志愿者排行，3代表企业排行</t>
  </si>
  <si>
    <t>组织地址</t>
  </si>
  <si>
    <t>所在单位/捐款企业简介</t>
  </si>
  <si>
    <t>组织名称/捐款企业名称</t>
  </si>
  <si>
    <t>图片或头像</t>
  </si>
  <si>
    <t>累积活动数</t>
  </si>
  <si>
    <t>是否注册志愿者</t>
  </si>
  <si>
    <t>志愿者星级</t>
  </si>
  <si>
    <t>积分</t>
  </si>
  <si>
    <t>sex_</t>
  </si>
  <si>
    <t>性别</t>
  </si>
  <si>
    <t>CHAR(8)</t>
  </si>
  <si>
    <t>nick_name</t>
  </si>
  <si>
    <t>donor_money</t>
  </si>
  <si>
    <t>捐助金额</t>
  </si>
  <si>
    <t>company_id</t>
  </si>
  <si>
    <t>捐助企业id</t>
  </si>
  <si>
    <t>志愿者升级星级日志表</t>
  </si>
  <si>
    <t>vt_rating_logs</t>
  </si>
  <si>
    <t>vt_user_id</t>
  </si>
  <si>
    <t>升级的志愿者id</t>
  </si>
  <si>
    <t>升到几星</t>
  </si>
  <si>
    <t>sys_user_id</t>
  </si>
  <si>
    <t>操作的管理员id</t>
  </si>
  <si>
    <t>操作时间</t>
  </si>
  <si>
    <t>备注信息</t>
  </si>
  <si>
    <t>志愿服务时间信息表</t>
  </si>
  <si>
    <t>vt_servicehour</t>
  </si>
  <si>
    <t>所属志愿团体</t>
  </si>
  <si>
    <t>所属志愿服务项目</t>
  </si>
  <si>
    <t>所属志愿者活动ID</t>
  </si>
  <si>
    <t>所属志愿者 1-N</t>
  </si>
  <si>
    <t>is_add</t>
  </si>
  <si>
    <t>是否已完成添加</t>
  </si>
  <si>
    <t>是否是补录时间</t>
  </si>
  <si>
    <t>admin_id</t>
  </si>
  <si>
    <t>管理员id</t>
  </si>
  <si>
    <t>vt_service_need</t>
  </si>
  <si>
    <t>orgname</t>
  </si>
  <si>
    <t>单位</t>
  </si>
  <si>
    <t>mobile_phone</t>
  </si>
  <si>
    <t>需求内容</t>
  </si>
  <si>
    <t>预留组织ID</t>
  </si>
  <si>
    <t>志愿者培训信息表</t>
  </si>
  <si>
    <t>vt_train</t>
  </si>
  <si>
    <t>封面图片</t>
  </si>
  <si>
    <t>content_type</t>
  </si>
  <si>
    <t>内容类型:文字或视频</t>
  </si>
  <si>
    <t>video_url</t>
  </si>
  <si>
    <t>视频链接</t>
  </si>
  <si>
    <t>hot_</t>
  </si>
  <si>
    <t>是否热门培训</t>
  </si>
  <si>
    <t>abstracts_</t>
  </si>
  <si>
    <t>培训摘要</t>
  </si>
  <si>
    <t>培训类别</t>
  </si>
  <si>
    <t>创建的管理员id</t>
  </si>
  <si>
    <t>志愿培训信息表</t>
  </si>
  <si>
    <t>vt_training</t>
  </si>
  <si>
    <t>培训类型Notes</t>
  </si>
  <si>
    <t>mode_</t>
  </si>
  <si>
    <t>培训方式Notes</t>
  </si>
  <si>
    <t>subject_</t>
  </si>
  <si>
    <t>培训主题</t>
  </si>
  <si>
    <t>培训开始日期</t>
  </si>
  <si>
    <t>培训结束日期</t>
  </si>
  <si>
    <t>培训所在区域</t>
  </si>
  <si>
    <t>培训详细地点</t>
  </si>
  <si>
    <t>object_</t>
  </si>
  <si>
    <t>培训对象</t>
  </si>
  <si>
    <t>培训内容</t>
  </si>
  <si>
    <t>lecturer_</t>
  </si>
  <si>
    <t>培训讲师</t>
  </si>
  <si>
    <t>credit_hours</t>
  </si>
  <si>
    <t>培训学时</t>
  </si>
  <si>
    <t>plan_train_num</t>
  </si>
  <si>
    <t>计划培训人数</t>
  </si>
  <si>
    <t>organizer_</t>
  </si>
  <si>
    <t>培训组织者</t>
  </si>
  <si>
    <t>报名开始日期</t>
  </si>
  <si>
    <t>报名结束日期</t>
  </si>
  <si>
    <t>real_train_num</t>
  </si>
  <si>
    <t>实际培训人数</t>
  </si>
  <si>
    <t>train_names</t>
  </si>
  <si>
    <t>培训名录?1-N</t>
  </si>
  <si>
    <t>vt_train_join</t>
  </si>
  <si>
    <t>志愿者id</t>
  </si>
  <si>
    <t>total_questions_num</t>
  </si>
  <si>
    <t>培训总题数</t>
  </si>
  <si>
    <t>true_questions_num</t>
  </si>
  <si>
    <t>答对的题数</t>
  </si>
  <si>
    <t>total_score</t>
  </si>
  <si>
    <t>总得分</t>
  </si>
  <si>
    <t>培训信息和培训题中间表</t>
  </si>
  <si>
    <t>vt_train_questions</t>
  </si>
  <si>
    <t>题id</t>
  </si>
  <si>
    <t>vt_train_servicehour</t>
  </si>
  <si>
    <t>培训轮播图片</t>
  </si>
  <si>
    <t>vt_train_slide</t>
  </si>
  <si>
    <t>轮播标题</t>
  </si>
  <si>
    <t>轮播图片</t>
  </si>
  <si>
    <t>text_</t>
  </si>
  <si>
    <t>轮播文字</t>
  </si>
  <si>
    <t>轮播状态</t>
  </si>
  <si>
    <t>vt_upvote</t>
  </si>
  <si>
    <t>vt_upvote_user</t>
  </si>
  <si>
    <t>点赞人id</t>
  </si>
  <si>
    <t>user_photo</t>
  </si>
  <si>
    <t>点赞人头像</t>
  </si>
  <si>
    <t>user_name</t>
  </si>
  <si>
    <t>点赞人名称</t>
  </si>
  <si>
    <t>vote_id</t>
  </si>
  <si>
    <t>投票活动id</t>
  </si>
  <si>
    <t>志愿组表彰奖励表</t>
  </si>
  <si>
    <t>vt_user_commend</t>
  </si>
  <si>
    <t>commend_id</t>
  </si>
  <si>
    <t>表彰奖励id</t>
  </si>
  <si>
    <t>用户好友表</t>
  </si>
  <si>
    <t>vt_user_friend</t>
  </si>
  <si>
    <t>friend_id</t>
  </si>
  <si>
    <t>好友id</t>
  </si>
  <si>
    <t>用户留言表</t>
  </si>
  <si>
    <t>vt_user_message</t>
  </si>
  <si>
    <t>target_id</t>
  </si>
  <si>
    <t>目标用户id</t>
  </si>
  <si>
    <t>状态[未读,已读]</t>
  </si>
  <si>
    <t>用户发表信息</t>
  </si>
  <si>
    <t>vt_user_news</t>
  </si>
  <si>
    <t>类型Enum[公司介绍,个人风采]</t>
  </si>
  <si>
    <t>用户通知表</t>
  </si>
  <si>
    <t>vt_user_notice</t>
  </si>
  <si>
    <t>志愿者系统消息已读未读表</t>
  </si>
  <si>
    <t>vt_user_notice_read</t>
  </si>
  <si>
    <t>notice_id</t>
  </si>
  <si>
    <t>消息id</t>
  </si>
  <si>
    <t>已读</t>
  </si>
  <si>
    <t>志愿组培训表</t>
  </si>
  <si>
    <t>vt_user_training</t>
  </si>
  <si>
    <t>training_id</t>
  </si>
  <si>
    <t>志愿者信息表</t>
  </si>
  <si>
    <t>vt_volunteer</t>
  </si>
  <si>
    <t>pager_pic_positive</t>
  </si>
  <si>
    <t>证件前图片</t>
  </si>
  <si>
    <t>pager_pic_negative</t>
  </si>
  <si>
    <t>证件后图片</t>
  </si>
  <si>
    <t>birthdate_</t>
  </si>
  <si>
    <t>出生日期</t>
  </si>
  <si>
    <t>country_</t>
  </si>
  <si>
    <t>国籍</t>
  </si>
  <si>
    <t>CHAR(3)</t>
  </si>
  <si>
    <t>nation_</t>
  </si>
  <si>
    <t>民族</t>
  </si>
  <si>
    <t>political_</t>
  </si>
  <si>
    <t>政治面貌</t>
  </si>
  <si>
    <t>school_name</t>
  </si>
  <si>
    <t>毕业院校名称</t>
  </si>
  <si>
    <t>major_class</t>
  </si>
  <si>
    <t>专业类别</t>
  </si>
  <si>
    <t>major_name</t>
  </si>
  <si>
    <t>所学专业</t>
  </si>
  <si>
    <t>education_</t>
  </si>
  <si>
    <t>学历</t>
  </si>
  <si>
    <t>lang_china</t>
  </si>
  <si>
    <t>中国语种?Multi</t>
  </si>
  <si>
    <t>lang_foreign</t>
  </si>
  <si>
    <t>外语语种?Multi</t>
  </si>
  <si>
    <t>proficiency_</t>
  </si>
  <si>
    <t>熟练程度</t>
  </si>
  <si>
    <t>blood_type</t>
  </si>
  <si>
    <t>血型</t>
  </si>
  <si>
    <t>native_place</t>
  </si>
  <si>
    <t>籍贯</t>
  </si>
  <si>
    <t>zone_</t>
  </si>
  <si>
    <t>居住区域</t>
  </si>
  <si>
    <t>联系地址</t>
  </si>
  <si>
    <t>zip_code</t>
  </si>
  <si>
    <t>联系地址邮政编码</t>
  </si>
  <si>
    <t>VARCHAR(11)</t>
  </si>
  <si>
    <t>phone_</t>
  </si>
  <si>
    <t>固定电话</t>
  </si>
  <si>
    <t>电子邮箱</t>
  </si>
  <si>
    <t>other_</t>
  </si>
  <si>
    <t>其他联系方式</t>
  </si>
  <si>
    <t>obtain_</t>
  </si>
  <si>
    <t>从业状况</t>
  </si>
  <si>
    <t>work_year</t>
  </si>
  <si>
    <t>工作年限</t>
  </si>
  <si>
    <t>job_title</t>
  </si>
  <si>
    <t>职称</t>
  </si>
  <si>
    <t>profession_</t>
  </si>
  <si>
    <t>职务</t>
  </si>
  <si>
    <t>organ_</t>
  </si>
  <si>
    <t>工作单位名称</t>
  </si>
  <si>
    <t>industry_</t>
  </si>
  <si>
    <t>行业ID</t>
  </si>
  <si>
    <t>organ_nature</t>
  </si>
  <si>
    <t>工作单位性质</t>
  </si>
  <si>
    <t>服务方式?Multi</t>
  </si>
  <si>
    <t>speciality_</t>
  </si>
  <si>
    <t>特长?Multi</t>
  </si>
  <si>
    <t>可提供服务的时间?Multi</t>
  </si>
  <si>
    <t>志愿者累计志愿服务时间</t>
  </si>
  <si>
    <t>total_training</t>
  </si>
  <si>
    <t>志愿者累计培训时间</t>
  </si>
  <si>
    <t>organ_industry</t>
  </si>
  <si>
    <t>工作单位行业性质</t>
  </si>
  <si>
    <t>vt_volunteer_change</t>
  </si>
  <si>
    <t>组织机构id</t>
  </si>
  <si>
    <t>volunteer_num</t>
  </si>
  <si>
    <t>志愿者数量</t>
  </si>
  <si>
    <t>volunteer_target_num</t>
  </si>
  <si>
    <t>志愿者目标数</t>
  </si>
  <si>
    <t>month</t>
  </si>
  <si>
    <t>月份</t>
  </si>
  <si>
    <t>vt_volunteer_no</t>
  </si>
  <si>
    <t>最新最大志愿者号</t>
  </si>
  <si>
    <t>用户信息表</t>
  </si>
  <si>
    <t>vt_volunteer_user</t>
  </si>
  <si>
    <t>用户类型[普通注册/机构导入]</t>
  </si>
  <si>
    <t>用户名</t>
  </si>
  <si>
    <t>password_</t>
  </si>
  <si>
    <t>密码</t>
  </si>
  <si>
    <t>微信openid</t>
  </si>
  <si>
    <t>头像</t>
  </si>
  <si>
    <t>trade_</t>
  </si>
  <si>
    <t>行业</t>
  </si>
  <si>
    <t>地区</t>
  </si>
  <si>
    <t>weixin_</t>
  </si>
  <si>
    <t>微信号</t>
  </si>
  <si>
    <t>qq_</t>
  </si>
  <si>
    <t>QQ</t>
  </si>
  <si>
    <t>个人介绍</t>
  </si>
  <si>
    <t>用户级别</t>
  </si>
  <si>
    <t>reg_ip</t>
  </si>
  <si>
    <t>注册ip</t>
  </si>
  <si>
    <t>uncheck("未审核"),normal("正常状态"), blocked("封禁状态"),recommend(推荐状态);</t>
  </si>
  <si>
    <t>subscribe_</t>
  </si>
  <si>
    <t>是否关注公众号</t>
  </si>
  <si>
    <t>volunteer_score</t>
  </si>
  <si>
    <t>支愿分</t>
  </si>
  <si>
    <t>import_user_id</t>
  </si>
  <si>
    <t>推荐用户ID</t>
  </si>
  <si>
    <t>支愿者星级</t>
  </si>
  <si>
    <t>统计时间字段</t>
  </si>
  <si>
    <t>志愿者捐款总数</t>
  </si>
  <si>
    <t>评选详情表</t>
  </si>
  <si>
    <t>vt_vote_detail</t>
  </si>
  <si>
    <t>评选类型</t>
  </si>
  <si>
    <t>被评选id</t>
  </si>
  <si>
    <t>vote_user_id</t>
  </si>
  <si>
    <t>投票用户ID</t>
  </si>
  <si>
    <t>subject_id</t>
  </si>
  <si>
    <t>评选主题ID</t>
  </si>
  <si>
    <t>投票时间</t>
  </si>
  <si>
    <t>志愿评选表</t>
  </si>
  <si>
    <t>vt_vote_list</t>
  </si>
  <si>
    <t>被评选头像</t>
  </si>
  <si>
    <t>VARCHAR(265)</t>
  </si>
  <si>
    <t>select_num</t>
  </si>
  <si>
    <t>选手号</t>
  </si>
  <si>
    <t>commend_name</t>
  </si>
  <si>
    <t>推荐单位名称</t>
  </si>
  <si>
    <t>story_</t>
  </si>
  <si>
    <t>事迹介绍</t>
  </si>
  <si>
    <t>vote_num</t>
  </si>
  <si>
    <t>投票数量</t>
  </si>
  <si>
    <t>志愿投票主题表</t>
  </si>
  <si>
    <t>vt_vote_subject</t>
  </si>
  <si>
    <t>评选标题</t>
  </si>
  <si>
    <t>评选说明</t>
  </si>
  <si>
    <t>评选图片</t>
  </si>
  <si>
    <t>开始日期</t>
  </si>
  <si>
    <t>结束日期</t>
  </si>
  <si>
    <t>Limit_num</t>
  </si>
  <si>
    <t>限止评选数/每人</t>
  </si>
  <si>
    <t>Limit_date_num</t>
  </si>
  <si>
    <t>限止评选数/每天</t>
  </si>
  <si>
    <t>vt_wanted</t>
  </si>
  <si>
    <t>招募类型</t>
  </si>
  <si>
    <t>类型id</t>
  </si>
  <si>
    <t>招募信息</t>
  </si>
  <si>
    <t>招募项名称</t>
  </si>
  <si>
    <t>wx_auto_reply</t>
  </si>
  <si>
    <t>BIGINT UNSIGNED</t>
  </si>
  <si>
    <t>key_word</t>
  </si>
  <si>
    <t>关键词，多个用逗号想隔开</t>
  </si>
  <si>
    <t>match_mode</t>
  </si>
  <si>
    <t>匹配模式，包含或相等</t>
  </si>
  <si>
    <t>CHAR(11)</t>
  </si>
  <si>
    <t>reply_mode</t>
  </si>
  <si>
    <t>回复模式，回复全部，随机回复一条</t>
  </si>
  <si>
    <t>优先级</t>
  </si>
  <si>
    <t>规则名</t>
  </si>
  <si>
    <t>VARCHAR(31)</t>
  </si>
  <si>
    <t>是否默认回复</t>
  </si>
  <si>
    <t>is_subscribe</t>
  </si>
  <si>
    <t>是否关注回复</t>
  </si>
  <si>
    <t>wx_auto_reply_content</t>
  </si>
  <si>
    <t>reply_id</t>
  </si>
  <si>
    <t>规则id</t>
  </si>
  <si>
    <t>内容，非文本为mediaId</t>
  </si>
  <si>
    <t>随机权重</t>
  </si>
  <si>
    <t>VARCHAR(1023)</t>
  </si>
  <si>
    <t>picurl</t>
  </si>
  <si>
    <t>图片地址</t>
  </si>
  <si>
    <t>wx_config</t>
  </si>
  <si>
    <t>app_id</t>
  </si>
  <si>
    <t>secret_</t>
  </si>
  <si>
    <t>token_</t>
  </si>
  <si>
    <t>aes_key</t>
  </si>
  <si>
    <t>CHAR(43)</t>
  </si>
  <si>
    <t>partner_id</t>
  </si>
  <si>
    <t>partner_key</t>
  </si>
  <si>
    <t>key_content</t>
  </si>
  <si>
    <t>access_token</t>
  </si>
  <si>
    <t>expires_time</t>
  </si>
  <si>
    <t>jsapi_ticket</t>
  </si>
  <si>
    <t>jsapi_ticket_expires_time</t>
  </si>
  <si>
    <t>card_api_ticket</t>
  </si>
  <si>
    <t>card_api_ticket_expires_time</t>
  </si>
  <si>
    <t>wx_menu</t>
  </si>
  <si>
    <t>菜单名</t>
  </si>
  <si>
    <t>VARCHAR(15)</t>
  </si>
  <si>
    <t>event_key</t>
  </si>
  <si>
    <t>事件类型</t>
  </si>
  <si>
    <t>菜单类型</t>
  </si>
  <si>
    <t>菜单点击Url</t>
  </si>
  <si>
    <t>parent_</t>
  </si>
  <si>
    <t>父菜单</t>
  </si>
  <si>
    <t>模拟关键词ID</t>
  </si>
  <si>
    <t>库名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</si>
</sst>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16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  <font>
      <b/>
      <sz val="9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b/>
      <sz val="10"/>
      <color indexed="8"/>
      <name val="宋体"/>
      <family val="3"/>
      <charset val="134"/>
    </font>
    <font>
      <u/>
      <sz val="10"/>
      <color indexed="12"/>
      <name val="宋体"/>
      <family val="3"/>
      <charset val="134"/>
    </font>
    <font>
      <b/>
      <sz val="9"/>
      <color rgb="FF00B0F0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trike/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color rgb="FFFF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/>
  </cellStyleXfs>
  <cellXfs count="50">
    <xf numFmtId="0" fontId="0" fillId="0" borderId="0" xfId="0"/>
    <xf numFmtId="49" fontId="1" fillId="0" borderId="0" xfId="1" applyNumberFormat="1" applyAlignment="1">
      <alignment horizontal="left" vertical="center"/>
    </xf>
    <xf numFmtId="49" fontId="4" fillId="0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49" fontId="4" fillId="0" borderId="2" xfId="1" quotePrefix="1" applyNumberFormat="1" applyFont="1" applyFill="1" applyBorder="1" applyAlignment="1">
      <alignment horizontal="left" vertical="center"/>
    </xf>
    <xf numFmtId="0" fontId="0" fillId="0" borderId="0" xfId="0" applyAlignment="1"/>
    <xf numFmtId="0" fontId="1" fillId="0" borderId="0" xfId="1">
      <alignment vertical="center"/>
    </xf>
    <xf numFmtId="49" fontId="4" fillId="0" borderId="1" xfId="1" quotePrefix="1" applyNumberFormat="1" applyFont="1" applyFill="1" applyBorder="1" applyAlignment="1">
      <alignment horizontal="left" vertical="center"/>
    </xf>
    <xf numFmtId="49" fontId="5" fillId="0" borderId="1" xfId="1" applyNumberFormat="1" applyFont="1" applyFill="1" applyBorder="1" applyAlignment="1">
      <alignment horizontal="center" vertical="center"/>
    </xf>
    <xf numFmtId="49" fontId="7" fillId="2" borderId="1" xfId="1" applyNumberFormat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left" vertical="center" wrapText="1"/>
    </xf>
    <xf numFmtId="0" fontId="9" fillId="0" borderId="1" xfId="0" quotePrefix="1" applyFont="1" applyBorder="1" applyAlignment="1">
      <alignment horizontal="center" vertical="center"/>
    </xf>
    <xf numFmtId="0" fontId="11" fillId="0" borderId="0" xfId="1" applyFont="1">
      <alignment vertical="center"/>
    </xf>
    <xf numFmtId="0" fontId="10" fillId="0" borderId="0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/>
    </xf>
    <xf numFmtId="0" fontId="8" fillId="0" borderId="0" xfId="2" applyFont="1" applyAlignment="1">
      <alignment horizontal="left" vertical="center"/>
    </xf>
    <xf numFmtId="0" fontId="12" fillId="0" borderId="0" xfId="0" applyFont="1" applyBorder="1" applyAlignment="1">
      <alignment horizontal="center"/>
    </xf>
    <xf numFmtId="0" fontId="8" fillId="0" borderId="0" xfId="2" quotePrefix="1" applyFont="1" applyBorder="1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left"/>
    </xf>
    <xf numFmtId="0" fontId="4" fillId="3" borderId="3" xfId="0" applyFont="1" applyFill="1" applyBorder="1" applyAlignment="1">
      <alignment horizontal="left" vertical="center"/>
    </xf>
    <xf numFmtId="49" fontId="7" fillId="2" borderId="3" xfId="1" applyNumberFormat="1" applyFont="1" applyFill="1" applyBorder="1" applyAlignment="1">
      <alignment horizontal="center" vertical="center"/>
    </xf>
    <xf numFmtId="49" fontId="4" fillId="0" borderId="2" xfId="1" applyNumberFormat="1" applyFont="1" applyFill="1" applyBorder="1" applyAlignment="1">
      <alignment horizontal="left" vertical="center"/>
    </xf>
    <xf numFmtId="49" fontId="4" fillId="0" borderId="2" xfId="1" applyNumberFormat="1" applyFont="1" applyFill="1" applyBorder="1" applyAlignment="1">
      <alignment horizontal="left" vertical="center" wrapText="1"/>
    </xf>
    <xf numFmtId="49" fontId="4" fillId="0" borderId="1" xfId="1" applyNumberFormat="1" applyFont="1" applyFill="1" applyBorder="1" applyAlignment="1">
      <alignment horizontal="left" vertical="center" wrapText="1"/>
    </xf>
    <xf numFmtId="49" fontId="4" fillId="0" borderId="1" xfId="1" applyNumberFormat="1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wrapText="1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49" fontId="4" fillId="0" borderId="2" xfId="1" applyNumberFormat="1" applyFont="1" applyFill="1" applyBorder="1" applyAlignment="1">
      <alignment horizontal="center" vertical="center"/>
    </xf>
    <xf numFmtId="49" fontId="15" fillId="0" borderId="2" xfId="1" applyNumberFormat="1" applyFont="1" applyFill="1" applyBorder="1" applyAlignment="1">
      <alignment horizontal="center" vertical="center"/>
    </xf>
    <xf numFmtId="0" fontId="13" fillId="6" borderId="0" xfId="0" applyFont="1" applyFill="1" applyAlignment="1">
      <alignment horizontal="left"/>
    </xf>
    <xf numFmtId="49" fontId="5" fillId="0" borderId="1" xfId="1" applyNumberFormat="1" applyFont="1" applyFill="1" applyBorder="1" applyAlignment="1">
      <alignment horizontal="left" vertical="center"/>
    </xf>
    <xf numFmtId="0" fontId="1" fillId="0" borderId="0" xfId="1" applyAlignment="1">
      <alignment horizontal="left" vertical="center"/>
    </xf>
    <xf numFmtId="0" fontId="12" fillId="0" borderId="1" xfId="0" applyFont="1" applyBorder="1" applyAlignment="1">
      <alignment horizontal="left" vertical="top"/>
    </xf>
    <xf numFmtId="0" fontId="12" fillId="0" borderId="1" xfId="0" applyFont="1" applyBorder="1" applyAlignment="1">
      <alignment horizontal="center"/>
    </xf>
  </cellXfs>
  <cellStyles count="4">
    <cellStyle name="Normal 2" xfId="3"/>
    <cellStyle name="常规" xfId="0" builtinId="0"/>
    <cellStyle name="常规 3" xfId="1"/>
    <cellStyle name="超链接" xfId="2" builtinId="8"/>
  </cellStyles>
  <dxfs count="0"/>
  <tableStyles count="0" defaultTableStyle="TableStyleMedium2" defaultPivotStyle="PivotStyleMedium9"/>
  <colors>
    <mruColors>
      <color rgb="FF6AF070"/>
      <color rgb="FFF8C2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B13"/>
  <sheetViews>
    <sheetView workbookViewId="0"/>
  </sheetViews>
  <sheetFormatPr defaultRowHeight="13.5" x14ac:dyDescent="0.15"/>
  <cols>
    <col min="1" max="1" width="14.25" style="40" customWidth="1"/>
    <col min="2" max="2" width="54.5" customWidth="1"/>
  </cols>
  <sheetData>
    <row r="1" spans="1:2" x14ac:dyDescent="0.15">
      <c r="A1" s="21" t="str">
        <f>HYPERLINK(CONCATENATE("#'目录'!D",MATCH(B1,目录!D:D,0)),"返回")</f>
        <v>返回</v>
      </c>
      <c r="B1" s="23" t="s">
        <v>51</v>
      </c>
    </row>
    <row r="2" spans="1:2" x14ac:dyDescent="0.15">
      <c r="A2" s="38" t="s">
        <v>46</v>
      </c>
      <c r="B2" s="37" t="s">
        <v>47</v>
      </c>
    </row>
    <row r="3" spans="1:2" x14ac:dyDescent="0.15">
      <c r="A3" s="39"/>
      <c r="B3" s="41"/>
    </row>
    <row r="4" spans="1:2" x14ac:dyDescent="0.15">
      <c r="A4" s="39"/>
      <c r="B4" s="41"/>
    </row>
    <row r="5" spans="1:2" x14ac:dyDescent="0.15">
      <c r="A5" s="39"/>
      <c r="B5" s="42"/>
    </row>
    <row r="6" spans="1:2" x14ac:dyDescent="0.15">
      <c r="A6" s="39"/>
      <c r="B6" s="42"/>
    </row>
    <row r="7" spans="1:2" x14ac:dyDescent="0.15">
      <c r="A7" s="39"/>
      <c r="B7" s="42"/>
    </row>
    <row r="8" spans="1:2" x14ac:dyDescent="0.15">
      <c r="A8" s="39"/>
      <c r="B8" s="42"/>
    </row>
    <row r="9" spans="1:2" x14ac:dyDescent="0.15">
      <c r="A9" s="39"/>
      <c r="B9" s="42"/>
    </row>
    <row r="10" spans="1:2" x14ac:dyDescent="0.15">
      <c r="A10" s="39"/>
      <c r="B10" s="42"/>
    </row>
    <row r="11" spans="1:2" x14ac:dyDescent="0.15">
      <c r="A11" s="39"/>
      <c r="B11" s="42"/>
    </row>
    <row r="12" spans="1:2" x14ac:dyDescent="0.15">
      <c r="A12" s="39"/>
      <c r="B12" s="42"/>
    </row>
    <row r="13" spans="1:2" x14ac:dyDescent="0.15">
      <c r="A13" s="39"/>
      <c r="B13" s="4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15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1" sqref="G11"/>
    </sheetView>
  </sheetViews>
  <sheetFormatPr defaultColWidth="9" defaultRowHeight="13.5" x14ac:dyDescent="0.15"/>
  <cols>
    <col min="1" max="1" width="5.25" style="6" customWidth="1"/>
    <col min="2" max="2" width="11.5" style="6" customWidth="1"/>
    <col min="3" max="3" width="23.5" style="47" customWidth="1"/>
    <col min="4" max="4" width="23.875" style="6" bestFit="1" customWidth="1"/>
    <col min="5" max="5" width="22.125" style="6" customWidth="1"/>
    <col min="6" max="6" width="8.25" style="10" customWidth="1"/>
    <col min="7" max="7" width="49.875" style="6" customWidth="1"/>
    <col min="8" max="8" width="11.625" style="5" bestFit="1" customWidth="1"/>
    <col min="9" max="16384" width="9" style="6"/>
  </cols>
  <sheetData>
    <row r="1" spans="1:10" s="1" customFormat="1" x14ac:dyDescent="0.15">
      <c r="A1" s="9" t="s">
        <v>0</v>
      </c>
      <c r="B1" s="9" t="s">
        <v>4</v>
      </c>
      <c r="C1" s="9" t="s">
        <v>1473</v>
      </c>
      <c r="D1" s="31" t="s">
        <v>8</v>
      </c>
      <c r="E1" s="9" t="s">
        <v>1</v>
      </c>
      <c r="F1" s="9" t="s">
        <v>5</v>
      </c>
      <c r="G1" s="9" t="s">
        <v>2</v>
      </c>
      <c r="H1" s="9" t="s">
        <v>48</v>
      </c>
    </row>
    <row r="2" spans="1:10" x14ac:dyDescent="0.15">
      <c r="A2" s="2">
        <f t="shared" ref="A2:A65" si="0">ROW()-ROW(A$1)</f>
        <v>1</v>
      </c>
      <c r="B2" s="8"/>
      <c r="C2" s="46"/>
      <c r="D2" s="30" t="s">
        <v>50</v>
      </c>
      <c r="E2" s="30" t="s">
        <v>50</v>
      </c>
      <c r="F2" s="15" t="str">
        <f>HYPERLINK("#'"&amp;E2&amp;"'!A1","====&gt;&gt;")</f>
        <v>====&gt;&gt;</v>
      </c>
      <c r="G2" s="4"/>
      <c r="H2" s="44" t="s">
        <v>49</v>
      </c>
      <c r="I2" s="16"/>
      <c r="J2" s="16"/>
    </row>
    <row r="3" spans="1:10" x14ac:dyDescent="0.15">
      <c r="A3" s="2">
        <f t="shared" si="0"/>
        <v>2</v>
      </c>
      <c r="B3" s="8"/>
      <c r="C3" s="46"/>
      <c r="D3" s="30" t="s">
        <v>57</v>
      </c>
      <c r="E3" s="30" t="s">
        <v>57</v>
      </c>
      <c r="F3" s="15" t="str">
        <f t="shared" ref="F3:F66" si="1">HYPERLINK("#'"&amp;E3&amp;"'!A1","====&gt;&gt;")</f>
        <v>====&gt;&gt;</v>
      </c>
      <c r="G3" s="4"/>
      <c r="H3" s="44" t="s">
        <v>49</v>
      </c>
      <c r="I3" s="16"/>
      <c r="J3" s="16"/>
    </row>
    <row r="4" spans="1:10" x14ac:dyDescent="0.15">
      <c r="A4" s="2">
        <f t="shared" si="0"/>
        <v>3</v>
      </c>
      <c r="B4" s="8" t="s">
        <v>27</v>
      </c>
      <c r="C4" s="46"/>
      <c r="D4" s="30"/>
      <c r="E4" s="3"/>
      <c r="F4" s="15" t="str">
        <f t="shared" si="1"/>
        <v>====&gt;&gt;</v>
      </c>
      <c r="G4" s="32"/>
      <c r="H4" s="43" t="s">
        <v>16</v>
      </c>
      <c r="I4" s="16"/>
      <c r="J4" s="16"/>
    </row>
    <row r="5" spans="1:10" x14ac:dyDescent="0.15">
      <c r="A5" s="2">
        <f t="shared" si="0"/>
        <v>4</v>
      </c>
      <c r="B5" s="8"/>
      <c r="C5" s="46"/>
      <c r="D5" s="30"/>
      <c r="E5" s="3"/>
      <c r="F5" s="15" t="str">
        <f t="shared" si="1"/>
        <v>====&gt;&gt;</v>
      </c>
      <c r="G5" s="32"/>
      <c r="H5" s="43" t="s">
        <v>16</v>
      </c>
      <c r="I5" s="16"/>
      <c r="J5" s="16"/>
    </row>
    <row r="6" spans="1:10" x14ac:dyDescent="0.15">
      <c r="A6" s="2">
        <f t="shared" si="0"/>
        <v>5</v>
      </c>
      <c r="B6" s="8"/>
      <c r="C6" s="46" t="s">
        <v>59</v>
      </c>
      <c r="D6" s="30" t="s">
        <v>60</v>
      </c>
      <c r="E6" s="3" t="s">
        <v>61</v>
      </c>
      <c r="F6" s="15" t="str">
        <f t="shared" si="1"/>
        <v>====&gt;&gt;</v>
      </c>
      <c r="G6" s="32" t="s">
        <v>60</v>
      </c>
      <c r="H6" s="43" t="s">
        <v>16</v>
      </c>
      <c r="I6" s="16"/>
      <c r="J6" s="16"/>
    </row>
    <row r="7" spans="1:10" x14ac:dyDescent="0.15">
      <c r="A7" s="2">
        <f t="shared" si="0"/>
        <v>6</v>
      </c>
      <c r="B7" s="8"/>
      <c r="C7" s="46" t="s">
        <v>59</v>
      </c>
      <c r="D7" s="30" t="s">
        <v>60</v>
      </c>
      <c r="E7" s="3" t="s">
        <v>97</v>
      </c>
      <c r="F7" s="15" t="str">
        <f t="shared" si="1"/>
        <v>====&gt;&gt;</v>
      </c>
      <c r="G7" s="32" t="s">
        <v>60</v>
      </c>
      <c r="H7" s="43" t="s">
        <v>16</v>
      </c>
      <c r="I7" s="16"/>
      <c r="J7" s="16"/>
    </row>
    <row r="8" spans="1:10" x14ac:dyDescent="0.15">
      <c r="A8" s="2">
        <f t="shared" si="0"/>
        <v>7</v>
      </c>
      <c r="B8" s="8"/>
      <c r="C8" s="46" t="s">
        <v>59</v>
      </c>
      <c r="D8" s="30" t="s">
        <v>99</v>
      </c>
      <c r="E8" s="3" t="s">
        <v>100</v>
      </c>
      <c r="F8" s="15" t="str">
        <f t="shared" si="1"/>
        <v>====&gt;&gt;</v>
      </c>
      <c r="G8" s="32" t="s">
        <v>99</v>
      </c>
      <c r="H8" s="43" t="s">
        <v>16</v>
      </c>
      <c r="I8" s="16"/>
      <c r="J8" s="16"/>
    </row>
    <row r="9" spans="1:10" x14ac:dyDescent="0.15">
      <c r="A9" s="2">
        <f t="shared" si="0"/>
        <v>8</v>
      </c>
      <c r="B9" s="8"/>
      <c r="C9" s="46" t="s">
        <v>59</v>
      </c>
      <c r="D9" s="30" t="s">
        <v>3</v>
      </c>
      <c r="E9" s="3" t="s">
        <v>103</v>
      </c>
      <c r="F9" s="15" t="str">
        <f t="shared" si="1"/>
        <v>====&gt;&gt;</v>
      </c>
      <c r="G9" s="4" t="s">
        <v>3</v>
      </c>
      <c r="H9" s="43" t="s">
        <v>16</v>
      </c>
      <c r="I9" s="16"/>
      <c r="J9" s="16"/>
    </row>
    <row r="10" spans="1:10" x14ac:dyDescent="0.15">
      <c r="A10" s="2">
        <f t="shared" si="0"/>
        <v>9</v>
      </c>
      <c r="B10" s="8"/>
      <c r="C10" s="46" t="s">
        <v>59</v>
      </c>
      <c r="D10" s="30" t="s">
        <v>3</v>
      </c>
      <c r="E10" s="3" t="s">
        <v>121</v>
      </c>
      <c r="F10" s="15" t="str">
        <f t="shared" si="1"/>
        <v>====&gt;&gt;</v>
      </c>
      <c r="G10" s="32" t="s">
        <v>3</v>
      </c>
      <c r="H10" s="43" t="s">
        <v>16</v>
      </c>
      <c r="I10" s="16"/>
      <c r="J10" s="16"/>
    </row>
    <row r="11" spans="1:10" x14ac:dyDescent="0.15">
      <c r="A11" s="2">
        <f t="shared" si="0"/>
        <v>10</v>
      </c>
      <c r="B11" s="8"/>
      <c r="C11" s="46" t="s">
        <v>59</v>
      </c>
      <c r="D11" s="30" t="s">
        <v>3</v>
      </c>
      <c r="E11" s="3" t="s">
        <v>126</v>
      </c>
      <c r="F11" s="15" t="str">
        <f t="shared" si="1"/>
        <v>====&gt;&gt;</v>
      </c>
      <c r="G11" s="32" t="s">
        <v>3</v>
      </c>
      <c r="H11" s="43" t="s">
        <v>16</v>
      </c>
      <c r="I11" s="16"/>
      <c r="J11" s="16"/>
    </row>
    <row r="12" spans="1:10" x14ac:dyDescent="0.15">
      <c r="A12" s="2">
        <f t="shared" si="0"/>
        <v>11</v>
      </c>
      <c r="B12" s="8"/>
      <c r="C12" s="46" t="s">
        <v>59</v>
      </c>
      <c r="D12" s="30" t="s">
        <v>3</v>
      </c>
      <c r="E12" s="3" t="s">
        <v>143</v>
      </c>
      <c r="F12" s="15" t="str">
        <f t="shared" si="1"/>
        <v>====&gt;&gt;</v>
      </c>
      <c r="G12" s="32" t="s">
        <v>3</v>
      </c>
      <c r="H12" s="43" t="s">
        <v>16</v>
      </c>
      <c r="I12" s="16"/>
      <c r="J12" s="16"/>
    </row>
    <row r="13" spans="1:10" x14ac:dyDescent="0.15">
      <c r="A13" s="2">
        <f t="shared" si="0"/>
        <v>12</v>
      </c>
      <c r="B13" s="8"/>
      <c r="C13" s="46" t="s">
        <v>59</v>
      </c>
      <c r="D13" s="30" t="s">
        <v>3</v>
      </c>
      <c r="E13" s="3" t="s">
        <v>148</v>
      </c>
      <c r="F13" s="15" t="str">
        <f t="shared" si="1"/>
        <v>====&gt;&gt;</v>
      </c>
      <c r="G13" s="32" t="s">
        <v>3</v>
      </c>
      <c r="H13" s="43" t="s">
        <v>16</v>
      </c>
      <c r="I13" s="16"/>
      <c r="J13" s="16"/>
    </row>
    <row r="14" spans="1:10" x14ac:dyDescent="0.15">
      <c r="A14" s="2">
        <f t="shared" si="0"/>
        <v>13</v>
      </c>
      <c r="B14" s="8"/>
      <c r="C14" s="46" t="s">
        <v>59</v>
      </c>
      <c r="D14" s="30" t="s">
        <v>154</v>
      </c>
      <c r="E14" s="3" t="s">
        <v>155</v>
      </c>
      <c r="F14" s="15" t="str">
        <f t="shared" si="1"/>
        <v>====&gt;&gt;</v>
      </c>
      <c r="G14" s="4" t="s">
        <v>154</v>
      </c>
      <c r="H14" s="43" t="s">
        <v>16</v>
      </c>
      <c r="I14" s="16"/>
      <c r="J14" s="16"/>
    </row>
    <row r="15" spans="1:10" x14ac:dyDescent="0.15">
      <c r="A15" s="2">
        <f t="shared" si="0"/>
        <v>14</v>
      </c>
      <c r="B15" s="8"/>
      <c r="C15" s="46" t="s">
        <v>59</v>
      </c>
      <c r="D15" s="30" t="s">
        <v>199</v>
      </c>
      <c r="E15" s="3" t="s">
        <v>200</v>
      </c>
      <c r="F15" s="15" t="str">
        <f t="shared" si="1"/>
        <v>====&gt;&gt;</v>
      </c>
      <c r="G15" s="4" t="s">
        <v>199</v>
      </c>
      <c r="H15" s="43" t="s">
        <v>16</v>
      </c>
      <c r="I15" s="16"/>
      <c r="J15" s="16"/>
    </row>
    <row r="16" spans="1:10" ht="13.5" customHeight="1" x14ac:dyDescent="0.15">
      <c r="A16" s="2">
        <f t="shared" si="0"/>
        <v>15</v>
      </c>
      <c r="B16" s="8"/>
      <c r="C16" s="46" t="s">
        <v>59</v>
      </c>
      <c r="D16" s="30" t="s">
        <v>227</v>
      </c>
      <c r="E16" s="3" t="s">
        <v>228</v>
      </c>
      <c r="F16" s="15" t="str">
        <f t="shared" si="1"/>
        <v>====&gt;&gt;</v>
      </c>
      <c r="G16" s="7" t="s">
        <v>227</v>
      </c>
      <c r="H16" s="43" t="s">
        <v>16</v>
      </c>
      <c r="I16" s="16"/>
      <c r="J16" s="16"/>
    </row>
    <row r="17" spans="1:10" x14ac:dyDescent="0.15">
      <c r="A17" s="2">
        <f t="shared" si="0"/>
        <v>16</v>
      </c>
      <c r="B17" s="8"/>
      <c r="C17" s="46" t="s">
        <v>59</v>
      </c>
      <c r="D17" s="30" t="s">
        <v>3</v>
      </c>
      <c r="E17" s="3" t="s">
        <v>251</v>
      </c>
      <c r="F17" s="15" t="str">
        <f t="shared" si="1"/>
        <v>====&gt;&gt;</v>
      </c>
      <c r="G17" s="35" t="s">
        <v>3</v>
      </c>
      <c r="H17" s="43" t="s">
        <v>16</v>
      </c>
      <c r="I17" s="16"/>
      <c r="J17" s="16"/>
    </row>
    <row r="18" spans="1:10" x14ac:dyDescent="0.15">
      <c r="A18" s="2">
        <f t="shared" si="0"/>
        <v>17</v>
      </c>
      <c r="B18" s="8"/>
      <c r="C18" s="46" t="s">
        <v>59</v>
      </c>
      <c r="D18" s="30" t="s">
        <v>261</v>
      </c>
      <c r="E18" s="3" t="s">
        <v>262</v>
      </c>
      <c r="F18" s="15" t="str">
        <f t="shared" si="1"/>
        <v>====&gt;&gt;</v>
      </c>
      <c r="G18" s="35" t="s">
        <v>261</v>
      </c>
      <c r="H18" s="43" t="s">
        <v>16</v>
      </c>
      <c r="I18" s="16"/>
      <c r="J18" s="16"/>
    </row>
    <row r="19" spans="1:10" ht="13.5" customHeight="1" x14ac:dyDescent="0.15">
      <c r="A19" s="2">
        <f t="shared" si="0"/>
        <v>18</v>
      </c>
      <c r="B19" s="8"/>
      <c r="C19" s="46" t="s">
        <v>59</v>
      </c>
      <c r="D19" s="30" t="s">
        <v>297</v>
      </c>
      <c r="E19" s="3" t="s">
        <v>298</v>
      </c>
      <c r="F19" s="15" t="str">
        <f t="shared" si="1"/>
        <v>====&gt;&gt;</v>
      </c>
      <c r="G19" s="34" t="s">
        <v>297</v>
      </c>
      <c r="H19" s="43" t="s">
        <v>16</v>
      </c>
      <c r="I19" s="16"/>
      <c r="J19" s="16"/>
    </row>
    <row r="20" spans="1:10" ht="13.5" customHeight="1" x14ac:dyDescent="0.15">
      <c r="A20" s="2">
        <f t="shared" si="0"/>
        <v>19</v>
      </c>
      <c r="B20" s="8"/>
      <c r="C20" s="46" t="s">
        <v>59</v>
      </c>
      <c r="D20" s="30" t="s">
        <v>309</v>
      </c>
      <c r="E20" s="3" t="s">
        <v>310</v>
      </c>
      <c r="F20" s="15" t="str">
        <f t="shared" si="1"/>
        <v>====&gt;&gt;</v>
      </c>
      <c r="G20" s="33" t="s">
        <v>309</v>
      </c>
      <c r="H20" s="43" t="s">
        <v>16</v>
      </c>
      <c r="I20" s="16"/>
      <c r="J20" s="16"/>
    </row>
    <row r="21" spans="1:10" x14ac:dyDescent="0.15">
      <c r="A21" s="2">
        <f t="shared" si="0"/>
        <v>20</v>
      </c>
      <c r="B21" s="8"/>
      <c r="C21" s="46" t="s">
        <v>59</v>
      </c>
      <c r="D21" s="30" t="s">
        <v>326</v>
      </c>
      <c r="E21" s="3" t="s">
        <v>327</v>
      </c>
      <c r="F21" s="15" t="str">
        <f t="shared" si="1"/>
        <v>====&gt;&gt;</v>
      </c>
      <c r="G21" s="7" t="s">
        <v>326</v>
      </c>
      <c r="H21" s="43" t="s">
        <v>16</v>
      </c>
      <c r="I21" s="16"/>
      <c r="J21" s="16"/>
    </row>
    <row r="22" spans="1:10" x14ac:dyDescent="0.15">
      <c r="A22" s="2">
        <f t="shared" si="0"/>
        <v>21</v>
      </c>
      <c r="B22" s="8"/>
      <c r="C22" s="46" t="s">
        <v>59</v>
      </c>
      <c r="D22" s="30" t="s">
        <v>334</v>
      </c>
      <c r="E22" s="3" t="s">
        <v>335</v>
      </c>
      <c r="F22" s="15" t="str">
        <f t="shared" si="1"/>
        <v>====&gt;&gt;</v>
      </c>
      <c r="G22" s="34" t="s">
        <v>334</v>
      </c>
      <c r="H22" s="43" t="s">
        <v>16</v>
      </c>
      <c r="I22" s="16"/>
      <c r="J22" s="16"/>
    </row>
    <row r="23" spans="1:10" x14ac:dyDescent="0.15">
      <c r="A23" s="2">
        <f t="shared" si="0"/>
        <v>22</v>
      </c>
      <c r="B23" s="8"/>
      <c r="C23" s="46" t="s">
        <v>59</v>
      </c>
      <c r="D23" s="30" t="s">
        <v>3</v>
      </c>
      <c r="E23" s="3" t="s">
        <v>351</v>
      </c>
      <c r="F23" s="15" t="str">
        <f t="shared" si="1"/>
        <v>====&gt;&gt;</v>
      </c>
      <c r="G23" s="7" t="s">
        <v>3</v>
      </c>
      <c r="H23" s="43" t="s">
        <v>16</v>
      </c>
    </row>
    <row r="24" spans="1:10" x14ac:dyDescent="0.15">
      <c r="A24" s="2">
        <f t="shared" si="0"/>
        <v>23</v>
      </c>
      <c r="B24" s="8"/>
      <c r="C24" s="46" t="s">
        <v>59</v>
      </c>
      <c r="D24" s="30" t="s">
        <v>3</v>
      </c>
      <c r="E24" s="3" t="s">
        <v>362</v>
      </c>
      <c r="F24" s="15" t="str">
        <f t="shared" si="1"/>
        <v>====&gt;&gt;</v>
      </c>
      <c r="G24" s="7" t="s">
        <v>3</v>
      </c>
      <c r="H24" s="43" t="s">
        <v>16</v>
      </c>
      <c r="I24" s="16"/>
      <c r="J24" s="16"/>
    </row>
    <row r="25" spans="1:10" x14ac:dyDescent="0.15">
      <c r="A25" s="2">
        <f t="shared" si="0"/>
        <v>24</v>
      </c>
      <c r="B25" s="8"/>
      <c r="C25" s="46" t="s">
        <v>59</v>
      </c>
      <c r="D25" s="30" t="s">
        <v>3</v>
      </c>
      <c r="E25" s="3" t="s">
        <v>378</v>
      </c>
      <c r="F25" s="15" t="str">
        <f t="shared" si="1"/>
        <v>====&gt;&gt;</v>
      </c>
      <c r="G25" s="7" t="s">
        <v>3</v>
      </c>
      <c r="H25" s="43" t="s">
        <v>16</v>
      </c>
    </row>
    <row r="26" spans="1:10" x14ac:dyDescent="0.15">
      <c r="A26" s="2">
        <f t="shared" si="0"/>
        <v>25</v>
      </c>
      <c r="B26" s="8"/>
      <c r="C26" s="46" t="s">
        <v>59</v>
      </c>
      <c r="D26" s="30" t="s">
        <v>3</v>
      </c>
      <c r="E26" s="3" t="s">
        <v>382</v>
      </c>
      <c r="F26" s="15" t="str">
        <f t="shared" si="1"/>
        <v>====&gt;&gt;</v>
      </c>
      <c r="G26" s="7" t="s">
        <v>3</v>
      </c>
      <c r="H26" s="43" t="s">
        <v>16</v>
      </c>
      <c r="I26" s="16"/>
      <c r="J26" s="16"/>
    </row>
    <row r="27" spans="1:10" x14ac:dyDescent="0.15">
      <c r="A27" s="2">
        <f t="shared" si="0"/>
        <v>26</v>
      </c>
      <c r="B27" s="8"/>
      <c r="C27" s="46" t="s">
        <v>59</v>
      </c>
      <c r="D27" s="30" t="s">
        <v>3</v>
      </c>
      <c r="E27" s="3" t="s">
        <v>392</v>
      </c>
      <c r="F27" s="15" t="str">
        <f t="shared" si="1"/>
        <v>====&gt;&gt;</v>
      </c>
      <c r="G27" s="7" t="s">
        <v>3</v>
      </c>
      <c r="H27" s="43" t="s">
        <v>16</v>
      </c>
    </row>
    <row r="28" spans="1:10" x14ac:dyDescent="0.15">
      <c r="A28" s="2">
        <f t="shared" si="0"/>
        <v>27</v>
      </c>
      <c r="B28" s="8"/>
      <c r="C28" s="46" t="s">
        <v>59</v>
      </c>
      <c r="D28" s="30" t="s">
        <v>3</v>
      </c>
      <c r="E28" s="3" t="s">
        <v>405</v>
      </c>
      <c r="F28" s="15" t="str">
        <f t="shared" si="1"/>
        <v>====&gt;&gt;</v>
      </c>
      <c r="G28" s="7" t="s">
        <v>3</v>
      </c>
      <c r="H28" s="43" t="s">
        <v>16</v>
      </c>
    </row>
    <row r="29" spans="1:10" x14ac:dyDescent="0.15">
      <c r="A29" s="2">
        <f t="shared" si="0"/>
        <v>28</v>
      </c>
      <c r="B29" s="8"/>
      <c r="C29" s="46" t="s">
        <v>59</v>
      </c>
      <c r="D29" s="30" t="s">
        <v>416</v>
      </c>
      <c r="E29" s="3" t="s">
        <v>417</v>
      </c>
      <c r="F29" s="15" t="str">
        <f t="shared" si="1"/>
        <v>====&gt;&gt;</v>
      </c>
      <c r="G29" s="7" t="s">
        <v>416</v>
      </c>
      <c r="H29" s="43" t="s">
        <v>16</v>
      </c>
      <c r="I29" s="16"/>
      <c r="J29" s="16"/>
    </row>
    <row r="30" spans="1:10" x14ac:dyDescent="0.15">
      <c r="A30" s="2">
        <f t="shared" si="0"/>
        <v>29</v>
      </c>
      <c r="B30" s="8"/>
      <c r="C30" s="46" t="s">
        <v>59</v>
      </c>
      <c r="D30" s="30" t="s">
        <v>425</v>
      </c>
      <c r="E30" s="3" t="s">
        <v>426</v>
      </c>
      <c r="F30" s="15" t="str">
        <f t="shared" si="1"/>
        <v>====&gt;&gt;</v>
      </c>
      <c r="G30" s="7" t="s">
        <v>425</v>
      </c>
      <c r="H30" s="43" t="s">
        <v>16</v>
      </c>
      <c r="I30" s="16"/>
      <c r="J30" s="16"/>
    </row>
    <row r="31" spans="1:10" x14ac:dyDescent="0.15">
      <c r="A31" s="2">
        <f t="shared" si="0"/>
        <v>30</v>
      </c>
      <c r="B31" s="8"/>
      <c r="C31" s="46" t="s">
        <v>59</v>
      </c>
      <c r="D31" s="30" t="s">
        <v>429</v>
      </c>
      <c r="E31" s="3" t="s">
        <v>430</v>
      </c>
      <c r="F31" s="15" t="str">
        <f t="shared" si="1"/>
        <v>====&gt;&gt;</v>
      </c>
      <c r="G31" s="7" t="s">
        <v>429</v>
      </c>
      <c r="H31" s="43" t="s">
        <v>16</v>
      </c>
    </row>
    <row r="32" spans="1:10" x14ac:dyDescent="0.15">
      <c r="A32" s="2">
        <f t="shared" si="0"/>
        <v>31</v>
      </c>
      <c r="B32" s="8"/>
      <c r="C32" s="46" t="s">
        <v>59</v>
      </c>
      <c r="D32" s="30" t="s">
        <v>448</v>
      </c>
      <c r="E32" s="3" t="s">
        <v>449</v>
      </c>
      <c r="F32" s="15" t="str">
        <f t="shared" si="1"/>
        <v>====&gt;&gt;</v>
      </c>
      <c r="G32" s="7" t="s">
        <v>448</v>
      </c>
      <c r="H32" s="43" t="s">
        <v>16</v>
      </c>
      <c r="I32" s="16"/>
      <c r="J32" s="16"/>
    </row>
    <row r="33" spans="1:10" x14ac:dyDescent="0.15">
      <c r="A33" s="2">
        <f t="shared" si="0"/>
        <v>32</v>
      </c>
      <c r="B33" s="8"/>
      <c r="C33" s="46" t="s">
        <v>59</v>
      </c>
      <c r="D33" s="30" t="s">
        <v>455</v>
      </c>
      <c r="E33" s="3" t="s">
        <v>456</v>
      </c>
      <c r="F33" s="15" t="str">
        <f t="shared" si="1"/>
        <v>====&gt;&gt;</v>
      </c>
      <c r="G33" s="7" t="s">
        <v>455</v>
      </c>
      <c r="H33" s="43" t="s">
        <v>16</v>
      </c>
    </row>
    <row r="34" spans="1:10" x14ac:dyDescent="0.15">
      <c r="A34" s="2">
        <f t="shared" si="0"/>
        <v>33</v>
      </c>
      <c r="B34" s="8"/>
      <c r="C34" s="46" t="s">
        <v>59</v>
      </c>
      <c r="D34" s="30" t="s">
        <v>481</v>
      </c>
      <c r="E34" s="3" t="s">
        <v>482</v>
      </c>
      <c r="F34" s="15" t="str">
        <f t="shared" si="1"/>
        <v>====&gt;&gt;</v>
      </c>
      <c r="G34" s="7" t="s">
        <v>481</v>
      </c>
      <c r="H34" s="43" t="s">
        <v>16</v>
      </c>
    </row>
    <row r="35" spans="1:10" x14ac:dyDescent="0.15">
      <c r="A35" s="2">
        <f t="shared" si="0"/>
        <v>34</v>
      </c>
      <c r="B35" s="8"/>
      <c r="C35" s="46" t="s">
        <v>59</v>
      </c>
      <c r="D35" s="30" t="s">
        <v>3</v>
      </c>
      <c r="E35" s="3" t="s">
        <v>497</v>
      </c>
      <c r="F35" s="15" t="str">
        <f t="shared" si="1"/>
        <v>====&gt;&gt;</v>
      </c>
      <c r="G35" s="7" t="s">
        <v>3</v>
      </c>
      <c r="H35" s="43" t="s">
        <v>16</v>
      </c>
    </row>
    <row r="36" spans="1:10" x14ac:dyDescent="0.15">
      <c r="A36" s="2">
        <f t="shared" si="0"/>
        <v>35</v>
      </c>
      <c r="B36" s="8"/>
      <c r="C36" s="46" t="s">
        <v>59</v>
      </c>
      <c r="D36" s="30" t="s">
        <v>3</v>
      </c>
      <c r="E36" s="3" t="s">
        <v>502</v>
      </c>
      <c r="F36" s="15" t="str">
        <f t="shared" si="1"/>
        <v>====&gt;&gt;</v>
      </c>
      <c r="G36" s="7" t="s">
        <v>3</v>
      </c>
      <c r="H36" s="43" t="s">
        <v>16</v>
      </c>
    </row>
    <row r="37" spans="1:10" x14ac:dyDescent="0.15">
      <c r="A37" s="2">
        <f t="shared" si="0"/>
        <v>36</v>
      </c>
      <c r="B37" s="8"/>
      <c r="C37" s="46" t="s">
        <v>59</v>
      </c>
      <c r="D37" s="30" t="s">
        <v>3</v>
      </c>
      <c r="E37" s="3" t="s">
        <v>510</v>
      </c>
      <c r="F37" s="15" t="str">
        <f t="shared" si="1"/>
        <v>====&gt;&gt;</v>
      </c>
      <c r="G37" s="7" t="s">
        <v>3</v>
      </c>
      <c r="H37" s="43" t="s">
        <v>16</v>
      </c>
    </row>
    <row r="38" spans="1:10" x14ac:dyDescent="0.15">
      <c r="A38" s="2">
        <f t="shared" si="0"/>
        <v>37</v>
      </c>
      <c r="B38" s="8"/>
      <c r="C38" s="46" t="s">
        <v>59</v>
      </c>
      <c r="D38" s="30" t="s">
        <v>3</v>
      </c>
      <c r="E38" s="3" t="s">
        <v>516</v>
      </c>
      <c r="F38" s="15" t="str">
        <f t="shared" si="1"/>
        <v>====&gt;&gt;</v>
      </c>
      <c r="G38" s="7" t="s">
        <v>3</v>
      </c>
      <c r="H38" s="43" t="s">
        <v>16</v>
      </c>
    </row>
    <row r="39" spans="1:10" x14ac:dyDescent="0.15">
      <c r="A39" s="2">
        <f t="shared" si="0"/>
        <v>38</v>
      </c>
      <c r="B39" s="8"/>
      <c r="C39" s="46" t="s">
        <v>59</v>
      </c>
      <c r="D39" s="30" t="s">
        <v>521</v>
      </c>
      <c r="E39" s="3" t="s">
        <v>522</v>
      </c>
      <c r="F39" s="15" t="str">
        <f t="shared" si="1"/>
        <v>====&gt;&gt;</v>
      </c>
      <c r="G39" s="7" t="s">
        <v>521</v>
      </c>
      <c r="H39" s="43" t="s">
        <v>16</v>
      </c>
    </row>
    <row r="40" spans="1:10" x14ac:dyDescent="0.15">
      <c r="A40" s="2">
        <f t="shared" si="0"/>
        <v>39</v>
      </c>
      <c r="B40" s="8"/>
      <c r="C40" s="46" t="s">
        <v>59</v>
      </c>
      <c r="D40" s="30" t="s">
        <v>3</v>
      </c>
      <c r="E40" s="3" t="s">
        <v>570</v>
      </c>
      <c r="F40" s="15" t="str">
        <f t="shared" si="1"/>
        <v>====&gt;&gt;</v>
      </c>
      <c r="G40" s="7" t="s">
        <v>3</v>
      </c>
      <c r="H40" s="43" t="s">
        <v>16</v>
      </c>
    </row>
    <row r="41" spans="1:10" x14ac:dyDescent="0.15">
      <c r="A41" s="2">
        <f t="shared" si="0"/>
        <v>40</v>
      </c>
      <c r="B41" s="8"/>
      <c r="C41" s="46" t="s">
        <v>59</v>
      </c>
      <c r="D41" s="30" t="s">
        <v>3</v>
      </c>
      <c r="E41" s="3" t="s">
        <v>575</v>
      </c>
      <c r="F41" s="15" t="str">
        <f t="shared" si="1"/>
        <v>====&gt;&gt;</v>
      </c>
      <c r="G41" s="7" t="s">
        <v>3</v>
      </c>
      <c r="H41" s="43" t="s">
        <v>16</v>
      </c>
      <c r="I41" s="16"/>
      <c r="J41" s="16"/>
    </row>
    <row r="42" spans="1:10" x14ac:dyDescent="0.15">
      <c r="A42" s="2">
        <f t="shared" si="0"/>
        <v>41</v>
      </c>
      <c r="B42" s="8"/>
      <c r="C42" s="46" t="s">
        <v>59</v>
      </c>
      <c r="D42" s="30" t="s">
        <v>3</v>
      </c>
      <c r="E42" s="3" t="s">
        <v>582</v>
      </c>
      <c r="F42" s="15" t="str">
        <f t="shared" si="1"/>
        <v>====&gt;&gt;</v>
      </c>
      <c r="G42" s="35" t="s">
        <v>3</v>
      </c>
      <c r="H42" s="43" t="s">
        <v>16</v>
      </c>
      <c r="I42" s="16"/>
      <c r="J42" s="16"/>
    </row>
    <row r="43" spans="1:10" x14ac:dyDescent="0.15">
      <c r="A43" s="2">
        <f t="shared" si="0"/>
        <v>42</v>
      </c>
      <c r="B43" s="8"/>
      <c r="C43" s="46" t="s">
        <v>59</v>
      </c>
      <c r="D43" s="30" t="s">
        <v>3</v>
      </c>
      <c r="E43" s="3" t="s">
        <v>587</v>
      </c>
      <c r="F43" s="15" t="str">
        <f t="shared" si="1"/>
        <v>====&gt;&gt;</v>
      </c>
      <c r="G43" s="35" t="s">
        <v>3</v>
      </c>
      <c r="H43" s="43" t="s">
        <v>16</v>
      </c>
      <c r="I43" s="16"/>
      <c r="J43" s="16"/>
    </row>
    <row r="44" spans="1:10" x14ac:dyDescent="0.15">
      <c r="A44" s="2">
        <f t="shared" si="0"/>
        <v>43</v>
      </c>
      <c r="B44" s="8"/>
      <c r="C44" s="46" t="s">
        <v>59</v>
      </c>
      <c r="D44" s="30" t="s">
        <v>592</v>
      </c>
      <c r="E44" s="3" t="s">
        <v>593</v>
      </c>
      <c r="F44" s="15" t="str">
        <f t="shared" si="1"/>
        <v>====&gt;&gt;</v>
      </c>
      <c r="G44" s="35" t="s">
        <v>592</v>
      </c>
      <c r="H44" s="43" t="s">
        <v>16</v>
      </c>
      <c r="I44" s="16"/>
      <c r="J44" s="16"/>
    </row>
    <row r="45" spans="1:10" x14ac:dyDescent="0.15">
      <c r="A45" s="2">
        <f t="shared" si="0"/>
        <v>44</v>
      </c>
      <c r="B45" s="8"/>
      <c r="C45" s="46" t="s">
        <v>59</v>
      </c>
      <c r="D45" s="30" t="s">
        <v>605</v>
      </c>
      <c r="E45" s="3" t="s">
        <v>606</v>
      </c>
      <c r="F45" s="15" t="str">
        <f t="shared" si="1"/>
        <v>====&gt;&gt;</v>
      </c>
      <c r="G45" s="7" t="s">
        <v>605</v>
      </c>
      <c r="H45" s="43" t="s">
        <v>16</v>
      </c>
      <c r="I45" s="16"/>
      <c r="J45" s="16"/>
    </row>
    <row r="46" spans="1:10" x14ac:dyDescent="0.15">
      <c r="A46" s="2">
        <f t="shared" si="0"/>
        <v>45</v>
      </c>
      <c r="B46" s="8"/>
      <c r="C46" s="46" t="s">
        <v>59</v>
      </c>
      <c r="D46" s="30" t="s">
        <v>3</v>
      </c>
      <c r="E46" s="3" t="s">
        <v>607</v>
      </c>
      <c r="F46" s="15" t="str">
        <f t="shared" si="1"/>
        <v>====&gt;&gt;</v>
      </c>
      <c r="G46" s="7" t="s">
        <v>3</v>
      </c>
      <c r="H46" s="43" t="s">
        <v>16</v>
      </c>
      <c r="I46" s="16"/>
      <c r="J46" s="16"/>
    </row>
    <row r="47" spans="1:10" x14ac:dyDescent="0.15">
      <c r="A47" s="2">
        <f t="shared" si="0"/>
        <v>46</v>
      </c>
      <c r="B47" s="8"/>
      <c r="C47" s="46" t="s">
        <v>59</v>
      </c>
      <c r="D47" s="30" t="s">
        <v>3</v>
      </c>
      <c r="E47" s="3" t="s">
        <v>623</v>
      </c>
      <c r="F47" s="15" t="str">
        <f t="shared" si="1"/>
        <v>====&gt;&gt;</v>
      </c>
      <c r="G47" s="7" t="s">
        <v>3</v>
      </c>
      <c r="H47" s="43" t="s">
        <v>16</v>
      </c>
    </row>
    <row r="48" spans="1:10" x14ac:dyDescent="0.15">
      <c r="A48" s="2">
        <f t="shared" si="0"/>
        <v>47</v>
      </c>
      <c r="B48" s="8"/>
      <c r="C48" s="46" t="s">
        <v>59</v>
      </c>
      <c r="D48" s="30" t="s">
        <v>3</v>
      </c>
      <c r="E48" s="3" t="s">
        <v>639</v>
      </c>
      <c r="F48" s="15" t="str">
        <f t="shared" si="1"/>
        <v>====&gt;&gt;</v>
      </c>
      <c r="G48" s="7" t="s">
        <v>3</v>
      </c>
      <c r="H48" s="43" t="s">
        <v>16</v>
      </c>
    </row>
    <row r="49" spans="1:8" x14ac:dyDescent="0.15">
      <c r="A49" s="2">
        <f t="shared" si="0"/>
        <v>48</v>
      </c>
      <c r="B49" s="8"/>
      <c r="C49" s="46" t="s">
        <v>59</v>
      </c>
      <c r="D49" s="30" t="s">
        <v>3</v>
      </c>
      <c r="E49" s="3" t="s">
        <v>652</v>
      </c>
      <c r="F49" s="15" t="str">
        <f t="shared" si="1"/>
        <v>====&gt;&gt;</v>
      </c>
      <c r="G49" s="7" t="s">
        <v>3</v>
      </c>
      <c r="H49" s="43" t="s">
        <v>16</v>
      </c>
    </row>
    <row r="50" spans="1:8" x14ac:dyDescent="0.15">
      <c r="A50" s="2">
        <f t="shared" si="0"/>
        <v>49</v>
      </c>
      <c r="B50" s="8"/>
      <c r="C50" s="46" t="s">
        <v>59</v>
      </c>
      <c r="D50" s="30" t="s">
        <v>3</v>
      </c>
      <c r="E50" s="3" t="s">
        <v>654</v>
      </c>
      <c r="F50" s="15" t="str">
        <f t="shared" si="1"/>
        <v>====&gt;&gt;</v>
      </c>
      <c r="G50" s="7" t="s">
        <v>3</v>
      </c>
      <c r="H50" s="43" t="s">
        <v>16</v>
      </c>
    </row>
    <row r="51" spans="1:8" x14ac:dyDescent="0.15">
      <c r="A51" s="2">
        <f t="shared" si="0"/>
        <v>50</v>
      </c>
      <c r="B51" s="8"/>
      <c r="C51" s="46" t="s">
        <v>59</v>
      </c>
      <c r="D51" s="30" t="s">
        <v>660</v>
      </c>
      <c r="E51" s="3" t="s">
        <v>661</v>
      </c>
      <c r="F51" s="15" t="str">
        <f t="shared" si="1"/>
        <v>====&gt;&gt;</v>
      </c>
      <c r="G51" s="7" t="s">
        <v>660</v>
      </c>
      <c r="H51" s="43" t="s">
        <v>16</v>
      </c>
    </row>
    <row r="52" spans="1:8" x14ac:dyDescent="0.15">
      <c r="A52" s="2">
        <f t="shared" si="0"/>
        <v>51</v>
      </c>
      <c r="B52" s="8"/>
      <c r="C52" s="46" t="s">
        <v>59</v>
      </c>
      <c r="D52" s="30" t="s">
        <v>741</v>
      </c>
      <c r="E52" s="3" t="s">
        <v>742</v>
      </c>
      <c r="F52" s="15" t="str">
        <f t="shared" si="1"/>
        <v>====&gt;&gt;</v>
      </c>
      <c r="G52" s="7" t="s">
        <v>741</v>
      </c>
      <c r="H52" s="43" t="s">
        <v>16</v>
      </c>
    </row>
    <row r="53" spans="1:8" x14ac:dyDescent="0.15">
      <c r="A53" s="2">
        <f t="shared" si="0"/>
        <v>52</v>
      </c>
      <c r="B53" s="8"/>
      <c r="C53" s="46" t="s">
        <v>59</v>
      </c>
      <c r="D53" s="30" t="s">
        <v>747</v>
      </c>
      <c r="E53" s="3" t="s">
        <v>748</v>
      </c>
      <c r="F53" s="15" t="str">
        <f t="shared" si="1"/>
        <v>====&gt;&gt;</v>
      </c>
      <c r="G53" s="7" t="s">
        <v>747</v>
      </c>
      <c r="H53" s="43" t="s">
        <v>16</v>
      </c>
    </row>
    <row r="54" spans="1:8" x14ac:dyDescent="0.15">
      <c r="A54" s="2">
        <f t="shared" si="0"/>
        <v>53</v>
      </c>
      <c r="B54" s="8"/>
      <c r="C54" s="46" t="s">
        <v>59</v>
      </c>
      <c r="D54" s="30" t="s">
        <v>757</v>
      </c>
      <c r="E54" s="3" t="s">
        <v>758</v>
      </c>
      <c r="F54" s="15" t="str">
        <f t="shared" si="1"/>
        <v>====&gt;&gt;</v>
      </c>
      <c r="G54" s="7" t="s">
        <v>757</v>
      </c>
      <c r="H54" s="43" t="s">
        <v>16</v>
      </c>
    </row>
    <row r="55" spans="1:8" x14ac:dyDescent="0.15">
      <c r="A55" s="2">
        <f t="shared" si="0"/>
        <v>54</v>
      </c>
      <c r="B55" s="8"/>
      <c r="C55" s="46" t="s">
        <v>59</v>
      </c>
      <c r="D55" s="30" t="s">
        <v>771</v>
      </c>
      <c r="E55" s="3" t="s">
        <v>772</v>
      </c>
      <c r="F55" s="15" t="str">
        <f t="shared" si="1"/>
        <v>====&gt;&gt;</v>
      </c>
      <c r="G55" s="7" t="s">
        <v>771</v>
      </c>
      <c r="H55" s="43" t="s">
        <v>16</v>
      </c>
    </row>
    <row r="56" spans="1:8" x14ac:dyDescent="0.15">
      <c r="A56" s="2">
        <f t="shared" si="0"/>
        <v>55</v>
      </c>
      <c r="B56" s="8"/>
      <c r="C56" s="46" t="s">
        <v>59</v>
      </c>
      <c r="D56" s="30" t="s">
        <v>775</v>
      </c>
      <c r="E56" s="3" t="s">
        <v>776</v>
      </c>
      <c r="F56" s="15" t="str">
        <f t="shared" si="1"/>
        <v>====&gt;&gt;</v>
      </c>
      <c r="G56" s="7" t="s">
        <v>775</v>
      </c>
      <c r="H56" s="43" t="s">
        <v>16</v>
      </c>
    </row>
    <row r="57" spans="1:8" x14ac:dyDescent="0.15">
      <c r="A57" s="2">
        <f t="shared" si="0"/>
        <v>56</v>
      </c>
      <c r="B57" s="8"/>
      <c r="C57" s="46" t="s">
        <v>59</v>
      </c>
      <c r="D57" s="30" t="s">
        <v>779</v>
      </c>
      <c r="E57" s="3" t="s">
        <v>780</v>
      </c>
      <c r="F57" s="15" t="str">
        <f t="shared" si="1"/>
        <v>====&gt;&gt;</v>
      </c>
      <c r="G57" s="7" t="s">
        <v>779</v>
      </c>
      <c r="H57" s="43" t="s">
        <v>16</v>
      </c>
    </row>
    <row r="58" spans="1:8" x14ac:dyDescent="0.15">
      <c r="A58" s="2">
        <f t="shared" si="0"/>
        <v>57</v>
      </c>
      <c r="B58" s="8"/>
      <c r="C58" s="46" t="s">
        <v>59</v>
      </c>
      <c r="D58" s="30" t="s">
        <v>791</v>
      </c>
      <c r="E58" s="3" t="s">
        <v>792</v>
      </c>
      <c r="F58" s="15" t="str">
        <f t="shared" si="1"/>
        <v>====&gt;&gt;</v>
      </c>
      <c r="G58" s="7" t="s">
        <v>791</v>
      </c>
      <c r="H58" s="43" t="s">
        <v>16</v>
      </c>
    </row>
    <row r="59" spans="1:8" x14ac:dyDescent="0.15">
      <c r="A59" s="2">
        <f t="shared" si="0"/>
        <v>58</v>
      </c>
      <c r="B59" s="8"/>
      <c r="C59" s="46" t="s">
        <v>59</v>
      </c>
      <c r="D59" s="30" t="s">
        <v>804</v>
      </c>
      <c r="E59" s="3" t="s">
        <v>805</v>
      </c>
      <c r="F59" s="15" t="str">
        <f t="shared" si="1"/>
        <v>====&gt;&gt;</v>
      </c>
      <c r="G59" s="7" t="s">
        <v>804</v>
      </c>
      <c r="H59" s="43" t="s">
        <v>16</v>
      </c>
    </row>
    <row r="60" spans="1:8" x14ac:dyDescent="0.15">
      <c r="A60" s="2">
        <f t="shared" si="0"/>
        <v>59</v>
      </c>
      <c r="B60" s="8"/>
      <c r="C60" s="46" t="s">
        <v>59</v>
      </c>
      <c r="D60" s="30" t="s">
        <v>810</v>
      </c>
      <c r="E60" s="3" t="s">
        <v>811</v>
      </c>
      <c r="F60" s="15" t="str">
        <f t="shared" si="1"/>
        <v>====&gt;&gt;</v>
      </c>
      <c r="G60" s="7" t="s">
        <v>810</v>
      </c>
      <c r="H60" s="43" t="s">
        <v>16</v>
      </c>
    </row>
    <row r="61" spans="1:8" x14ac:dyDescent="0.15">
      <c r="A61" s="2">
        <f t="shared" si="0"/>
        <v>60</v>
      </c>
      <c r="B61" s="8"/>
      <c r="C61" s="46" t="s">
        <v>59</v>
      </c>
      <c r="D61" s="30" t="s">
        <v>817</v>
      </c>
      <c r="E61" s="3" t="s">
        <v>818</v>
      </c>
      <c r="F61" s="15" t="str">
        <f t="shared" si="1"/>
        <v>====&gt;&gt;</v>
      </c>
      <c r="G61" s="7" t="s">
        <v>817</v>
      </c>
      <c r="H61" s="43" t="s">
        <v>16</v>
      </c>
    </row>
    <row r="62" spans="1:8" x14ac:dyDescent="0.15">
      <c r="A62" s="2">
        <f t="shared" si="0"/>
        <v>61</v>
      </c>
      <c r="B62" s="8"/>
      <c r="C62" s="46" t="s">
        <v>59</v>
      </c>
      <c r="D62" s="30" t="s">
        <v>821</v>
      </c>
      <c r="E62" s="3" t="s">
        <v>822</v>
      </c>
      <c r="F62" s="15" t="str">
        <f t="shared" si="1"/>
        <v>====&gt;&gt;</v>
      </c>
      <c r="G62" s="7" t="s">
        <v>821</v>
      </c>
      <c r="H62" s="43" t="s">
        <v>16</v>
      </c>
    </row>
    <row r="63" spans="1:8" x14ac:dyDescent="0.15">
      <c r="A63" s="2">
        <f t="shared" si="0"/>
        <v>62</v>
      </c>
      <c r="B63" s="8"/>
      <c r="C63" s="46" t="s">
        <v>59</v>
      </c>
      <c r="D63" s="30" t="s">
        <v>3</v>
      </c>
      <c r="E63" s="3" t="s">
        <v>832</v>
      </c>
      <c r="F63" s="15" t="str">
        <f t="shared" si="1"/>
        <v>====&gt;&gt;</v>
      </c>
      <c r="G63" s="7" t="s">
        <v>3</v>
      </c>
      <c r="H63" s="43" t="s">
        <v>16</v>
      </c>
    </row>
    <row r="64" spans="1:8" x14ac:dyDescent="0.15">
      <c r="A64" s="2">
        <f t="shared" si="0"/>
        <v>63</v>
      </c>
      <c r="B64" s="8"/>
      <c r="C64" s="46" t="s">
        <v>59</v>
      </c>
      <c r="D64" s="30" t="s">
        <v>834</v>
      </c>
      <c r="E64" s="3" t="s">
        <v>835</v>
      </c>
      <c r="F64" s="15" t="str">
        <f t="shared" si="1"/>
        <v>====&gt;&gt;</v>
      </c>
      <c r="G64" s="7" t="s">
        <v>834</v>
      </c>
      <c r="H64" s="43" t="s">
        <v>16</v>
      </c>
    </row>
    <row r="65" spans="1:8" x14ac:dyDescent="0.15">
      <c r="A65" s="2">
        <f t="shared" si="0"/>
        <v>64</v>
      </c>
      <c r="B65" s="8"/>
      <c r="C65" s="46" t="s">
        <v>59</v>
      </c>
      <c r="D65" s="30" t="s">
        <v>844</v>
      </c>
      <c r="E65" s="3" t="s">
        <v>845</v>
      </c>
      <c r="F65" s="15" t="str">
        <f t="shared" si="1"/>
        <v>====&gt;&gt;</v>
      </c>
      <c r="G65" s="7" t="s">
        <v>844</v>
      </c>
      <c r="H65" s="43" t="s">
        <v>16</v>
      </c>
    </row>
    <row r="66" spans="1:8" x14ac:dyDescent="0.15">
      <c r="A66" s="2">
        <f t="shared" ref="A66:A129" si="2">ROW()-ROW(A$1)</f>
        <v>65</v>
      </c>
      <c r="B66" s="8"/>
      <c r="C66" s="46" t="s">
        <v>59</v>
      </c>
      <c r="D66" s="30" t="s">
        <v>872</v>
      </c>
      <c r="E66" s="3" t="s">
        <v>873</v>
      </c>
      <c r="F66" s="15" t="str">
        <f t="shared" si="1"/>
        <v>====&gt;&gt;</v>
      </c>
      <c r="G66" s="7" t="s">
        <v>872</v>
      </c>
      <c r="H66" s="43" t="s">
        <v>16</v>
      </c>
    </row>
    <row r="67" spans="1:8" x14ac:dyDescent="0.15">
      <c r="A67" s="2">
        <f t="shared" si="2"/>
        <v>66</v>
      </c>
      <c r="B67" s="8"/>
      <c r="C67" s="46" t="s">
        <v>59</v>
      </c>
      <c r="D67" s="30" t="s">
        <v>890</v>
      </c>
      <c r="E67" s="3" t="s">
        <v>891</v>
      </c>
      <c r="F67" s="15" t="str">
        <f t="shared" ref="F67:F130" si="3">HYPERLINK("#'"&amp;E67&amp;"'!A1","====&gt;&gt;")</f>
        <v>====&gt;&gt;</v>
      </c>
      <c r="G67" s="7" t="s">
        <v>890</v>
      </c>
      <c r="H67" s="43" t="s">
        <v>16</v>
      </c>
    </row>
    <row r="68" spans="1:8" x14ac:dyDescent="0.15">
      <c r="A68" s="2">
        <f t="shared" si="2"/>
        <v>67</v>
      </c>
      <c r="B68" s="8"/>
      <c r="C68" s="46" t="s">
        <v>59</v>
      </c>
      <c r="D68" s="30" t="s">
        <v>3</v>
      </c>
      <c r="E68" s="3" t="s">
        <v>902</v>
      </c>
      <c r="F68" s="15" t="str">
        <f t="shared" si="3"/>
        <v>====&gt;&gt;</v>
      </c>
      <c r="G68" s="7" t="s">
        <v>3</v>
      </c>
      <c r="H68" s="43" t="s">
        <v>16</v>
      </c>
    </row>
    <row r="69" spans="1:8" x14ac:dyDescent="0.15">
      <c r="A69" s="2">
        <f t="shared" si="2"/>
        <v>68</v>
      </c>
      <c r="B69" s="8"/>
      <c r="C69" s="46" t="s">
        <v>59</v>
      </c>
      <c r="D69" s="30" t="s">
        <v>911</v>
      </c>
      <c r="E69" s="3" t="s">
        <v>912</v>
      </c>
      <c r="F69" s="15" t="str">
        <f t="shared" si="3"/>
        <v>====&gt;&gt;</v>
      </c>
      <c r="G69" s="7" t="s">
        <v>911</v>
      </c>
      <c r="H69" s="43" t="s">
        <v>16</v>
      </c>
    </row>
    <row r="70" spans="1:8" x14ac:dyDescent="0.15">
      <c r="A70" s="2">
        <f t="shared" si="2"/>
        <v>69</v>
      </c>
      <c r="B70" s="8"/>
      <c r="C70" s="46" t="s">
        <v>59</v>
      </c>
      <c r="D70" s="30" t="s">
        <v>924</v>
      </c>
      <c r="E70" s="3" t="s">
        <v>925</v>
      </c>
      <c r="F70" s="15" t="str">
        <f t="shared" si="3"/>
        <v>====&gt;&gt;</v>
      </c>
      <c r="G70" s="7" t="s">
        <v>924</v>
      </c>
      <c r="H70" s="43" t="s">
        <v>16</v>
      </c>
    </row>
    <row r="71" spans="1:8" x14ac:dyDescent="0.15">
      <c r="A71" s="2">
        <f t="shared" si="2"/>
        <v>70</v>
      </c>
      <c r="B71" s="8"/>
      <c r="C71" s="46" t="s">
        <v>59</v>
      </c>
      <c r="D71" s="30" t="s">
        <v>929</v>
      </c>
      <c r="E71" s="3" t="s">
        <v>930</v>
      </c>
      <c r="F71" s="15" t="str">
        <f t="shared" si="3"/>
        <v>====&gt;&gt;</v>
      </c>
      <c r="G71" s="7" t="s">
        <v>929</v>
      </c>
      <c r="H71" s="43" t="s">
        <v>16</v>
      </c>
    </row>
    <row r="72" spans="1:8" x14ac:dyDescent="0.15">
      <c r="A72" s="2">
        <f t="shared" si="2"/>
        <v>71</v>
      </c>
      <c r="B72" s="8"/>
      <c r="C72" s="46" t="s">
        <v>59</v>
      </c>
      <c r="D72" s="30" t="s">
        <v>936</v>
      </c>
      <c r="E72" s="3" t="s">
        <v>937</v>
      </c>
      <c r="F72" s="15" t="str">
        <f t="shared" si="3"/>
        <v>====&gt;&gt;</v>
      </c>
      <c r="G72" s="7" t="s">
        <v>936</v>
      </c>
      <c r="H72" s="43" t="s">
        <v>16</v>
      </c>
    </row>
    <row r="73" spans="1:8" x14ac:dyDescent="0.15">
      <c r="A73" s="2">
        <f t="shared" si="2"/>
        <v>72</v>
      </c>
      <c r="B73" s="8"/>
      <c r="C73" s="46" t="s">
        <v>59</v>
      </c>
      <c r="D73" s="30" t="s">
        <v>942</v>
      </c>
      <c r="E73" s="3" t="s">
        <v>943</v>
      </c>
      <c r="F73" s="15" t="str">
        <f t="shared" si="3"/>
        <v>====&gt;&gt;</v>
      </c>
      <c r="G73" s="7" t="s">
        <v>942</v>
      </c>
      <c r="H73" s="43" t="s">
        <v>16</v>
      </c>
    </row>
    <row r="74" spans="1:8" x14ac:dyDescent="0.15">
      <c r="A74" s="2">
        <f t="shared" si="2"/>
        <v>73</v>
      </c>
      <c r="B74" s="8"/>
      <c r="C74" s="46" t="s">
        <v>59</v>
      </c>
      <c r="D74" s="30" t="s">
        <v>950</v>
      </c>
      <c r="E74" s="3" t="s">
        <v>951</v>
      </c>
      <c r="F74" s="15" t="str">
        <f t="shared" si="3"/>
        <v>====&gt;&gt;</v>
      </c>
      <c r="G74" s="7" t="s">
        <v>950</v>
      </c>
      <c r="H74" s="43" t="s">
        <v>16</v>
      </c>
    </row>
    <row r="75" spans="1:8" x14ac:dyDescent="0.15">
      <c r="A75" s="2">
        <f t="shared" si="2"/>
        <v>74</v>
      </c>
      <c r="B75" s="8"/>
      <c r="C75" s="46" t="s">
        <v>59</v>
      </c>
      <c r="D75" s="30" t="s">
        <v>968</v>
      </c>
      <c r="E75" s="3" t="s">
        <v>969</v>
      </c>
      <c r="F75" s="15" t="str">
        <f t="shared" si="3"/>
        <v>====&gt;&gt;</v>
      </c>
      <c r="G75" s="7" t="s">
        <v>968</v>
      </c>
      <c r="H75" s="43" t="s">
        <v>16</v>
      </c>
    </row>
    <row r="76" spans="1:8" x14ac:dyDescent="0.15">
      <c r="A76" s="2">
        <f t="shared" si="2"/>
        <v>75</v>
      </c>
      <c r="B76" s="8"/>
      <c r="C76" s="46" t="s">
        <v>59</v>
      </c>
      <c r="D76" s="30" t="s">
        <v>977</v>
      </c>
      <c r="E76" s="3" t="s">
        <v>978</v>
      </c>
      <c r="F76" s="15" t="str">
        <f t="shared" si="3"/>
        <v>====&gt;&gt;</v>
      </c>
      <c r="G76" s="7" t="s">
        <v>977</v>
      </c>
      <c r="H76" s="43" t="s">
        <v>16</v>
      </c>
    </row>
    <row r="77" spans="1:8" x14ac:dyDescent="0.15">
      <c r="A77" s="2">
        <f t="shared" si="2"/>
        <v>76</v>
      </c>
      <c r="B77" s="8"/>
      <c r="C77" s="46" t="s">
        <v>59</v>
      </c>
      <c r="D77" s="30" t="s">
        <v>980</v>
      </c>
      <c r="E77" s="3" t="s">
        <v>981</v>
      </c>
      <c r="F77" s="15" t="str">
        <f t="shared" si="3"/>
        <v>====&gt;&gt;</v>
      </c>
      <c r="G77" s="7" t="s">
        <v>980</v>
      </c>
      <c r="H77" s="43" t="s">
        <v>16</v>
      </c>
    </row>
    <row r="78" spans="1:8" x14ac:dyDescent="0.15">
      <c r="A78" s="2">
        <f t="shared" si="2"/>
        <v>77</v>
      </c>
      <c r="B78" s="8"/>
      <c r="C78" s="46" t="s">
        <v>59</v>
      </c>
      <c r="D78" s="30" t="s">
        <v>983</v>
      </c>
      <c r="E78" s="3" t="s">
        <v>984</v>
      </c>
      <c r="F78" s="15" t="str">
        <f t="shared" si="3"/>
        <v>====&gt;&gt;</v>
      </c>
      <c r="G78" s="7" t="s">
        <v>983</v>
      </c>
      <c r="H78" s="43" t="s">
        <v>16</v>
      </c>
    </row>
    <row r="79" spans="1:8" x14ac:dyDescent="0.15">
      <c r="A79" s="2">
        <f t="shared" si="2"/>
        <v>78</v>
      </c>
      <c r="B79" s="8"/>
      <c r="C79" s="46" t="s">
        <v>59</v>
      </c>
      <c r="D79" s="30" t="s">
        <v>986</v>
      </c>
      <c r="E79" s="3" t="s">
        <v>987</v>
      </c>
      <c r="F79" s="15" t="str">
        <f t="shared" si="3"/>
        <v>====&gt;&gt;</v>
      </c>
      <c r="G79" s="7" t="s">
        <v>986</v>
      </c>
      <c r="H79" s="43" t="s">
        <v>16</v>
      </c>
    </row>
    <row r="80" spans="1:8" x14ac:dyDescent="0.15">
      <c r="A80" s="2">
        <f t="shared" si="2"/>
        <v>79</v>
      </c>
      <c r="B80" s="8"/>
      <c r="C80" s="46" t="s">
        <v>59</v>
      </c>
      <c r="D80" s="30" t="s">
        <v>989</v>
      </c>
      <c r="E80" s="3" t="s">
        <v>990</v>
      </c>
      <c r="F80" s="15" t="str">
        <f t="shared" si="3"/>
        <v>====&gt;&gt;</v>
      </c>
      <c r="G80" s="7" t="s">
        <v>989</v>
      </c>
      <c r="H80" s="43" t="s">
        <v>16</v>
      </c>
    </row>
    <row r="81" spans="1:8" x14ac:dyDescent="0.15">
      <c r="A81" s="2">
        <f t="shared" si="2"/>
        <v>80</v>
      </c>
      <c r="B81" s="8"/>
      <c r="C81" s="46" t="s">
        <v>59</v>
      </c>
      <c r="D81" s="30" t="s">
        <v>991</v>
      </c>
      <c r="E81" s="3" t="s">
        <v>992</v>
      </c>
      <c r="F81" s="15" t="str">
        <f t="shared" si="3"/>
        <v>====&gt;&gt;</v>
      </c>
      <c r="G81" s="7" t="s">
        <v>991</v>
      </c>
      <c r="H81" s="43" t="s">
        <v>16</v>
      </c>
    </row>
    <row r="82" spans="1:8" x14ac:dyDescent="0.15">
      <c r="A82" s="2">
        <f t="shared" si="2"/>
        <v>81</v>
      </c>
      <c r="B82" s="8"/>
      <c r="C82" s="46" t="s">
        <v>59</v>
      </c>
      <c r="D82" s="30" t="s">
        <v>995</v>
      </c>
      <c r="E82" s="3" t="s">
        <v>996</v>
      </c>
      <c r="F82" s="15" t="str">
        <f t="shared" si="3"/>
        <v>====&gt;&gt;</v>
      </c>
      <c r="G82" s="7" t="s">
        <v>995</v>
      </c>
      <c r="H82" s="43" t="s">
        <v>16</v>
      </c>
    </row>
    <row r="83" spans="1:8" x14ac:dyDescent="0.15">
      <c r="A83" s="2">
        <f t="shared" si="2"/>
        <v>82</v>
      </c>
      <c r="B83" s="8"/>
      <c r="C83" s="46" t="s">
        <v>59</v>
      </c>
      <c r="D83" s="30" t="s">
        <v>995</v>
      </c>
      <c r="E83" s="3" t="s">
        <v>1039</v>
      </c>
      <c r="F83" s="15" t="str">
        <f t="shared" si="3"/>
        <v>====&gt;&gt;</v>
      </c>
      <c r="G83" s="7" t="s">
        <v>995</v>
      </c>
      <c r="H83" s="43" t="s">
        <v>16</v>
      </c>
    </row>
    <row r="84" spans="1:8" x14ac:dyDescent="0.15">
      <c r="A84" s="2">
        <f t="shared" si="2"/>
        <v>83</v>
      </c>
      <c r="B84" s="8"/>
      <c r="C84" s="46" t="s">
        <v>59</v>
      </c>
      <c r="D84" s="30" t="s">
        <v>1041</v>
      </c>
      <c r="E84" s="3" t="s">
        <v>1042</v>
      </c>
      <c r="F84" s="15" t="str">
        <f t="shared" si="3"/>
        <v>====&gt;&gt;</v>
      </c>
      <c r="G84" s="7" t="s">
        <v>1041</v>
      </c>
      <c r="H84" s="43" t="s">
        <v>16</v>
      </c>
    </row>
    <row r="85" spans="1:8" x14ac:dyDescent="0.15">
      <c r="A85" s="2">
        <f t="shared" si="2"/>
        <v>84</v>
      </c>
      <c r="B85" s="8"/>
      <c r="C85" s="46" t="s">
        <v>59</v>
      </c>
      <c r="D85" s="30" t="s">
        <v>1051</v>
      </c>
      <c r="E85" s="3" t="s">
        <v>1052</v>
      </c>
      <c r="F85" s="15" t="str">
        <f t="shared" si="3"/>
        <v>====&gt;&gt;</v>
      </c>
      <c r="G85" s="7" t="s">
        <v>1051</v>
      </c>
      <c r="H85" s="43" t="s">
        <v>16</v>
      </c>
    </row>
    <row r="86" spans="1:8" x14ac:dyDescent="0.15">
      <c r="A86" s="2">
        <f t="shared" si="2"/>
        <v>85</v>
      </c>
      <c r="B86" s="8"/>
      <c r="C86" s="46" t="s">
        <v>59</v>
      </c>
      <c r="D86" s="30" t="s">
        <v>1058</v>
      </c>
      <c r="E86" s="3" t="s">
        <v>1059</v>
      </c>
      <c r="F86" s="15" t="str">
        <f t="shared" si="3"/>
        <v>====&gt;&gt;</v>
      </c>
      <c r="G86" s="7" t="s">
        <v>1058</v>
      </c>
      <c r="H86" s="43" t="s">
        <v>16</v>
      </c>
    </row>
    <row r="87" spans="1:8" x14ac:dyDescent="0.15">
      <c r="A87" s="2">
        <f t="shared" si="2"/>
        <v>86</v>
      </c>
      <c r="B87" s="8"/>
      <c r="C87" s="46" t="s">
        <v>59</v>
      </c>
      <c r="D87" s="30" t="s">
        <v>1062</v>
      </c>
      <c r="E87" s="3" t="s">
        <v>1063</v>
      </c>
      <c r="F87" s="15" t="str">
        <f t="shared" si="3"/>
        <v>====&gt;&gt;</v>
      </c>
      <c r="G87" s="7" t="s">
        <v>1062</v>
      </c>
      <c r="H87" s="43" t="s">
        <v>16</v>
      </c>
    </row>
    <row r="88" spans="1:8" x14ac:dyDescent="0.15">
      <c r="A88" s="2">
        <f t="shared" si="2"/>
        <v>87</v>
      </c>
      <c r="B88" s="8"/>
      <c r="C88" s="46" t="s">
        <v>59</v>
      </c>
      <c r="D88" s="30" t="s">
        <v>1079</v>
      </c>
      <c r="E88" s="3" t="s">
        <v>1080</v>
      </c>
      <c r="F88" s="15" t="str">
        <f t="shared" si="3"/>
        <v>====&gt;&gt;</v>
      </c>
      <c r="G88" s="7" t="s">
        <v>1079</v>
      </c>
      <c r="H88" s="43" t="s">
        <v>16</v>
      </c>
    </row>
    <row r="89" spans="1:8" x14ac:dyDescent="0.15">
      <c r="A89" s="2">
        <f t="shared" si="2"/>
        <v>88</v>
      </c>
      <c r="B89" s="8"/>
      <c r="C89" s="46" t="s">
        <v>59</v>
      </c>
      <c r="D89" s="30" t="s">
        <v>1103</v>
      </c>
      <c r="E89" s="3" t="s">
        <v>1104</v>
      </c>
      <c r="F89" s="15" t="str">
        <f t="shared" si="3"/>
        <v>====&gt;&gt;</v>
      </c>
      <c r="G89" s="7" t="s">
        <v>1103</v>
      </c>
      <c r="H89" s="43" t="s">
        <v>16</v>
      </c>
    </row>
    <row r="90" spans="1:8" x14ac:dyDescent="0.15">
      <c r="A90" s="2">
        <f t="shared" si="2"/>
        <v>89</v>
      </c>
      <c r="B90" s="8"/>
      <c r="C90" s="46" t="s">
        <v>59</v>
      </c>
      <c r="D90" s="30" t="s">
        <v>1110</v>
      </c>
      <c r="E90" s="3" t="s">
        <v>1111</v>
      </c>
      <c r="F90" s="15" t="str">
        <f t="shared" si="3"/>
        <v>====&gt;&gt;</v>
      </c>
      <c r="G90" s="7" t="s">
        <v>1110</v>
      </c>
      <c r="H90" s="43" t="s">
        <v>16</v>
      </c>
    </row>
    <row r="91" spans="1:8" x14ac:dyDescent="0.15">
      <c r="A91" s="2">
        <f t="shared" si="2"/>
        <v>90</v>
      </c>
      <c r="B91" s="8"/>
      <c r="C91" s="46" t="s">
        <v>59</v>
      </c>
      <c r="D91" s="30" t="s">
        <v>1118</v>
      </c>
      <c r="E91" s="3" t="s">
        <v>1119</v>
      </c>
      <c r="F91" s="15" t="str">
        <f t="shared" si="3"/>
        <v>====&gt;&gt;</v>
      </c>
      <c r="G91" s="7" t="s">
        <v>1118</v>
      </c>
      <c r="H91" s="43" t="s">
        <v>16</v>
      </c>
    </row>
    <row r="92" spans="1:8" x14ac:dyDescent="0.15">
      <c r="A92" s="2">
        <f t="shared" si="2"/>
        <v>91</v>
      </c>
      <c r="B92" s="8"/>
      <c r="C92" s="46" t="s">
        <v>59</v>
      </c>
      <c r="D92" s="30" t="s">
        <v>1132</v>
      </c>
      <c r="E92" s="3" t="s">
        <v>1133</v>
      </c>
      <c r="F92" s="15" t="str">
        <f t="shared" si="3"/>
        <v>====&gt;&gt;</v>
      </c>
      <c r="G92" s="7" t="s">
        <v>1132</v>
      </c>
      <c r="H92" s="43" t="s">
        <v>16</v>
      </c>
    </row>
    <row r="93" spans="1:8" x14ac:dyDescent="0.15">
      <c r="A93" s="2">
        <f t="shared" si="2"/>
        <v>92</v>
      </c>
      <c r="B93" s="8"/>
      <c r="C93" s="46" t="s">
        <v>59</v>
      </c>
      <c r="D93" s="30" t="s">
        <v>1141</v>
      </c>
      <c r="E93" s="3" t="s">
        <v>1142</v>
      </c>
      <c r="F93" s="15" t="str">
        <f t="shared" si="3"/>
        <v>====&gt;&gt;</v>
      </c>
      <c r="G93" s="7" t="s">
        <v>1141</v>
      </c>
      <c r="H93" s="43" t="s">
        <v>16</v>
      </c>
    </row>
    <row r="94" spans="1:8" x14ac:dyDescent="0.15">
      <c r="A94" s="2">
        <f t="shared" si="2"/>
        <v>93</v>
      </c>
      <c r="B94" s="8"/>
      <c r="C94" s="46" t="s">
        <v>59</v>
      </c>
      <c r="D94" s="30" t="s">
        <v>1161</v>
      </c>
      <c r="E94" s="3" t="s">
        <v>1162</v>
      </c>
      <c r="F94" s="15" t="str">
        <f t="shared" si="3"/>
        <v>====&gt;&gt;</v>
      </c>
      <c r="G94" s="7" t="s">
        <v>1161</v>
      </c>
      <c r="H94" s="43" t="s">
        <v>16</v>
      </c>
    </row>
    <row r="95" spans="1:8" x14ac:dyDescent="0.15">
      <c r="A95" s="2">
        <f t="shared" si="2"/>
        <v>94</v>
      </c>
      <c r="B95" s="8"/>
      <c r="C95" s="46" t="s">
        <v>59</v>
      </c>
      <c r="D95" s="30" t="s">
        <v>1170</v>
      </c>
      <c r="E95" s="3" t="s">
        <v>1171</v>
      </c>
      <c r="F95" s="15" t="str">
        <f t="shared" si="3"/>
        <v>====&gt;&gt;</v>
      </c>
      <c r="G95" s="7" t="s">
        <v>1170</v>
      </c>
      <c r="H95" s="43" t="s">
        <v>16</v>
      </c>
    </row>
    <row r="96" spans="1:8" x14ac:dyDescent="0.15">
      <c r="A96" s="2">
        <f t="shared" si="2"/>
        <v>95</v>
      </c>
      <c r="B96" s="8"/>
      <c r="C96" s="46" t="s">
        <v>59</v>
      </c>
      <c r="D96" s="30" t="s">
        <v>3</v>
      </c>
      <c r="E96" s="3" t="s">
        <v>1181</v>
      </c>
      <c r="F96" s="15" t="str">
        <f t="shared" si="3"/>
        <v>====&gt;&gt;</v>
      </c>
      <c r="G96" s="7" t="s">
        <v>3</v>
      </c>
      <c r="H96" s="43" t="s">
        <v>16</v>
      </c>
    </row>
    <row r="97" spans="1:8" x14ac:dyDescent="0.15">
      <c r="A97" s="2">
        <f t="shared" si="2"/>
        <v>96</v>
      </c>
      <c r="B97" s="8"/>
      <c r="C97" s="46" t="s">
        <v>59</v>
      </c>
      <c r="D97" s="30" t="s">
        <v>1187</v>
      </c>
      <c r="E97" s="3" t="s">
        <v>1188</v>
      </c>
      <c r="F97" s="15" t="str">
        <f t="shared" si="3"/>
        <v>====&gt;&gt;</v>
      </c>
      <c r="G97" s="7" t="s">
        <v>1187</v>
      </c>
      <c r="H97" s="43" t="s">
        <v>16</v>
      </c>
    </row>
    <row r="98" spans="1:8" x14ac:dyDescent="0.15">
      <c r="A98" s="2">
        <f t="shared" si="2"/>
        <v>97</v>
      </c>
      <c r="B98" s="8"/>
      <c r="C98" s="46" t="s">
        <v>59</v>
      </c>
      <c r="D98" s="30" t="s">
        <v>1200</v>
      </c>
      <c r="E98" s="3" t="s">
        <v>1201</v>
      </c>
      <c r="F98" s="15" t="str">
        <f t="shared" si="3"/>
        <v>====&gt;&gt;</v>
      </c>
      <c r="G98" s="7" t="s">
        <v>1200</v>
      </c>
      <c r="H98" s="43" t="s">
        <v>16</v>
      </c>
    </row>
    <row r="99" spans="1:8" x14ac:dyDescent="0.15">
      <c r="A99" s="2">
        <f t="shared" si="2"/>
        <v>98</v>
      </c>
      <c r="B99" s="8"/>
      <c r="C99" s="46" t="s">
        <v>59</v>
      </c>
      <c r="D99" s="30" t="s">
        <v>3</v>
      </c>
      <c r="E99" s="3" t="s">
        <v>1228</v>
      </c>
      <c r="F99" s="15" t="str">
        <f t="shared" si="3"/>
        <v>====&gt;&gt;</v>
      </c>
      <c r="G99" s="7" t="s">
        <v>3</v>
      </c>
      <c r="H99" s="43" t="s">
        <v>16</v>
      </c>
    </row>
    <row r="100" spans="1:8" x14ac:dyDescent="0.15">
      <c r="A100" s="2">
        <f t="shared" si="2"/>
        <v>99</v>
      </c>
      <c r="B100" s="8"/>
      <c r="C100" s="46" t="s">
        <v>59</v>
      </c>
      <c r="D100" s="30" t="s">
        <v>1236</v>
      </c>
      <c r="E100" s="3" t="s">
        <v>1237</v>
      </c>
      <c r="F100" s="15" t="str">
        <f t="shared" si="3"/>
        <v>====&gt;&gt;</v>
      </c>
      <c r="G100" s="7" t="s">
        <v>1236</v>
      </c>
      <c r="H100" s="43" t="s">
        <v>16</v>
      </c>
    </row>
    <row r="101" spans="1:8" x14ac:dyDescent="0.15">
      <c r="A101" s="2">
        <f t="shared" si="2"/>
        <v>100</v>
      </c>
      <c r="B101" s="8"/>
      <c r="C101" s="46" t="s">
        <v>59</v>
      </c>
      <c r="D101" s="30" t="s">
        <v>3</v>
      </c>
      <c r="E101" s="3" t="s">
        <v>1239</v>
      </c>
      <c r="F101" s="15" t="str">
        <f t="shared" si="3"/>
        <v>====&gt;&gt;</v>
      </c>
      <c r="G101" s="7" t="s">
        <v>3</v>
      </c>
      <c r="H101" s="43" t="s">
        <v>16</v>
      </c>
    </row>
    <row r="102" spans="1:8" x14ac:dyDescent="0.15">
      <c r="A102" s="2">
        <f t="shared" si="2"/>
        <v>101</v>
      </c>
      <c r="B102" s="8"/>
      <c r="C102" s="46" t="s">
        <v>59</v>
      </c>
      <c r="D102" s="30" t="s">
        <v>1240</v>
      </c>
      <c r="E102" s="3" t="s">
        <v>1241</v>
      </c>
      <c r="F102" s="15" t="str">
        <f t="shared" si="3"/>
        <v>====&gt;&gt;</v>
      </c>
      <c r="G102" s="7" t="s">
        <v>1240</v>
      </c>
      <c r="H102" s="43" t="s">
        <v>16</v>
      </c>
    </row>
    <row r="103" spans="1:8" x14ac:dyDescent="0.15">
      <c r="A103" s="2">
        <f t="shared" si="2"/>
        <v>102</v>
      </c>
      <c r="B103" s="8"/>
      <c r="C103" s="46" t="s">
        <v>59</v>
      </c>
      <c r="D103" s="30" t="s">
        <v>3</v>
      </c>
      <c r="E103" s="3" t="s">
        <v>1247</v>
      </c>
      <c r="F103" s="15" t="str">
        <f t="shared" si="3"/>
        <v>====&gt;&gt;</v>
      </c>
      <c r="G103" s="7" t="s">
        <v>3</v>
      </c>
      <c r="H103" s="43" t="s">
        <v>16</v>
      </c>
    </row>
    <row r="104" spans="1:8" x14ac:dyDescent="0.15">
      <c r="A104" s="2">
        <f t="shared" si="2"/>
        <v>103</v>
      </c>
      <c r="B104" s="8"/>
      <c r="C104" s="46" t="s">
        <v>59</v>
      </c>
      <c r="D104" s="30" t="s">
        <v>3</v>
      </c>
      <c r="E104" s="3" t="s">
        <v>1248</v>
      </c>
      <c r="F104" s="15" t="str">
        <f t="shared" si="3"/>
        <v>====&gt;&gt;</v>
      </c>
      <c r="G104" s="7" t="s">
        <v>3</v>
      </c>
      <c r="H104" s="43" t="s">
        <v>16</v>
      </c>
    </row>
    <row r="105" spans="1:8" x14ac:dyDescent="0.15">
      <c r="A105" s="2">
        <f t="shared" si="2"/>
        <v>104</v>
      </c>
      <c r="B105" s="8"/>
      <c r="C105" s="46" t="s">
        <v>59</v>
      </c>
      <c r="D105" s="30" t="s">
        <v>1256</v>
      </c>
      <c r="E105" s="3" t="s">
        <v>1257</v>
      </c>
      <c r="F105" s="15" t="str">
        <f t="shared" si="3"/>
        <v>====&gt;&gt;</v>
      </c>
      <c r="G105" s="7" t="s">
        <v>1256</v>
      </c>
      <c r="H105" s="43" t="s">
        <v>16</v>
      </c>
    </row>
    <row r="106" spans="1:8" x14ac:dyDescent="0.15">
      <c r="A106" s="2">
        <f t="shared" si="2"/>
        <v>105</v>
      </c>
      <c r="B106" s="8"/>
      <c r="C106" s="46" t="s">
        <v>59</v>
      </c>
      <c r="D106" s="30" t="s">
        <v>1260</v>
      </c>
      <c r="E106" s="3" t="s">
        <v>1261</v>
      </c>
      <c r="F106" s="15" t="str">
        <f t="shared" si="3"/>
        <v>====&gt;&gt;</v>
      </c>
      <c r="G106" s="7" t="s">
        <v>1260</v>
      </c>
      <c r="H106" s="43" t="s">
        <v>16</v>
      </c>
    </row>
    <row r="107" spans="1:8" x14ac:dyDescent="0.15">
      <c r="A107" s="2">
        <f t="shared" si="2"/>
        <v>106</v>
      </c>
      <c r="B107" s="8"/>
      <c r="C107" s="46" t="s">
        <v>59</v>
      </c>
      <c r="D107" s="30" t="s">
        <v>1264</v>
      </c>
      <c r="E107" s="3" t="s">
        <v>1265</v>
      </c>
      <c r="F107" s="15" t="str">
        <f t="shared" si="3"/>
        <v>====&gt;&gt;</v>
      </c>
      <c r="G107" s="7" t="s">
        <v>1264</v>
      </c>
      <c r="H107" s="43" t="s">
        <v>16</v>
      </c>
    </row>
    <row r="108" spans="1:8" x14ac:dyDescent="0.15">
      <c r="A108" s="2">
        <f t="shared" si="2"/>
        <v>107</v>
      </c>
      <c r="B108" s="8"/>
      <c r="C108" s="46" t="s">
        <v>59</v>
      </c>
      <c r="D108" s="30" t="s">
        <v>1269</v>
      </c>
      <c r="E108" s="3" t="s">
        <v>1270</v>
      </c>
      <c r="F108" s="15" t="str">
        <f t="shared" si="3"/>
        <v>====&gt;&gt;</v>
      </c>
      <c r="G108" s="7" t="s">
        <v>1269</v>
      </c>
      <c r="H108" s="43" t="s">
        <v>16</v>
      </c>
    </row>
    <row r="109" spans="1:8" x14ac:dyDescent="0.15">
      <c r="A109" s="2">
        <f t="shared" si="2"/>
        <v>108</v>
      </c>
      <c r="B109" s="8"/>
      <c r="C109" s="46" t="s">
        <v>59</v>
      </c>
      <c r="D109" s="30" t="s">
        <v>1272</v>
      </c>
      <c r="E109" s="3" t="s">
        <v>1273</v>
      </c>
      <c r="F109" s="15" t="str">
        <f t="shared" si="3"/>
        <v>====&gt;&gt;</v>
      </c>
      <c r="G109" s="7" t="s">
        <v>1272</v>
      </c>
      <c r="H109" s="43" t="s">
        <v>16</v>
      </c>
    </row>
    <row r="110" spans="1:8" x14ac:dyDescent="0.15">
      <c r="A110" s="2">
        <f t="shared" si="2"/>
        <v>109</v>
      </c>
      <c r="B110" s="8"/>
      <c r="C110" s="46" t="s">
        <v>59</v>
      </c>
      <c r="D110" s="30" t="s">
        <v>1274</v>
      </c>
      <c r="E110" s="3" t="s">
        <v>1275</v>
      </c>
      <c r="F110" s="15" t="str">
        <f t="shared" si="3"/>
        <v>====&gt;&gt;</v>
      </c>
      <c r="G110" s="7" t="s">
        <v>1274</v>
      </c>
      <c r="H110" s="43" t="s">
        <v>16</v>
      </c>
    </row>
    <row r="111" spans="1:8" x14ac:dyDescent="0.15">
      <c r="A111" s="2">
        <f t="shared" si="2"/>
        <v>110</v>
      </c>
      <c r="B111" s="8"/>
      <c r="C111" s="46" t="s">
        <v>59</v>
      </c>
      <c r="D111" s="30" t="s">
        <v>1279</v>
      </c>
      <c r="E111" s="3" t="s">
        <v>1280</v>
      </c>
      <c r="F111" s="15" t="str">
        <f t="shared" si="3"/>
        <v>====&gt;&gt;</v>
      </c>
      <c r="G111" s="7" t="s">
        <v>1279</v>
      </c>
      <c r="H111" s="43" t="s">
        <v>16</v>
      </c>
    </row>
    <row r="112" spans="1:8" x14ac:dyDescent="0.15">
      <c r="A112" s="2">
        <f t="shared" si="2"/>
        <v>111</v>
      </c>
      <c r="B112" s="8"/>
      <c r="C112" s="46" t="s">
        <v>59</v>
      </c>
      <c r="D112" s="30" t="s">
        <v>1282</v>
      </c>
      <c r="E112" s="3" t="s">
        <v>1283</v>
      </c>
      <c r="F112" s="15" t="str">
        <f t="shared" si="3"/>
        <v>====&gt;&gt;</v>
      </c>
      <c r="G112" s="7" t="s">
        <v>1282</v>
      </c>
      <c r="H112" s="43" t="s">
        <v>16</v>
      </c>
    </row>
    <row r="113" spans="1:8" x14ac:dyDescent="0.15">
      <c r="A113" s="2">
        <f t="shared" si="2"/>
        <v>112</v>
      </c>
      <c r="B113" s="8"/>
      <c r="C113" s="46" t="s">
        <v>59</v>
      </c>
      <c r="D113" s="30" t="s">
        <v>3</v>
      </c>
      <c r="E113" s="3" t="s">
        <v>1349</v>
      </c>
      <c r="F113" s="15" t="str">
        <f t="shared" si="3"/>
        <v>====&gt;&gt;</v>
      </c>
      <c r="G113" s="7" t="s">
        <v>3</v>
      </c>
      <c r="H113" s="43" t="s">
        <v>16</v>
      </c>
    </row>
    <row r="114" spans="1:8" x14ac:dyDescent="0.15">
      <c r="A114" s="2">
        <f t="shared" si="2"/>
        <v>113</v>
      </c>
      <c r="B114" s="8"/>
      <c r="C114" s="46" t="s">
        <v>59</v>
      </c>
      <c r="D114" s="30" t="s">
        <v>3</v>
      </c>
      <c r="E114" s="3" t="s">
        <v>1357</v>
      </c>
      <c r="F114" s="15" t="str">
        <f t="shared" si="3"/>
        <v>====&gt;&gt;</v>
      </c>
      <c r="G114" s="7" t="s">
        <v>3</v>
      </c>
      <c r="H114" s="43" t="s">
        <v>16</v>
      </c>
    </row>
    <row r="115" spans="1:8" x14ac:dyDescent="0.15">
      <c r="A115" s="2">
        <f t="shared" si="2"/>
        <v>114</v>
      </c>
      <c r="B115" s="8"/>
      <c r="C115" s="46" t="s">
        <v>59</v>
      </c>
      <c r="D115" s="30" t="s">
        <v>1359</v>
      </c>
      <c r="E115" s="3" t="s">
        <v>1360</v>
      </c>
      <c r="F115" s="15" t="str">
        <f t="shared" si="3"/>
        <v>====&gt;&gt;</v>
      </c>
      <c r="G115" s="7" t="s">
        <v>1359</v>
      </c>
      <c r="H115" s="43" t="s">
        <v>16</v>
      </c>
    </row>
    <row r="116" spans="1:8" x14ac:dyDescent="0.15">
      <c r="A116" s="2">
        <f t="shared" si="2"/>
        <v>115</v>
      </c>
      <c r="B116" s="8"/>
      <c r="C116" s="46" t="s">
        <v>59</v>
      </c>
      <c r="D116" s="30" t="s">
        <v>1388</v>
      </c>
      <c r="E116" s="3" t="s">
        <v>1389</v>
      </c>
      <c r="F116" s="15" t="str">
        <f t="shared" si="3"/>
        <v>====&gt;&gt;</v>
      </c>
      <c r="G116" s="7" t="s">
        <v>1388</v>
      </c>
      <c r="H116" s="43" t="s">
        <v>16</v>
      </c>
    </row>
    <row r="117" spans="1:8" x14ac:dyDescent="0.15">
      <c r="A117" s="2">
        <f t="shared" si="2"/>
        <v>116</v>
      </c>
      <c r="B117" s="8"/>
      <c r="C117" s="46" t="s">
        <v>59</v>
      </c>
      <c r="D117" s="30" t="s">
        <v>1397</v>
      </c>
      <c r="E117" s="3" t="s">
        <v>1398</v>
      </c>
      <c r="F117" s="15" t="str">
        <f t="shared" si="3"/>
        <v>====&gt;&gt;</v>
      </c>
      <c r="G117" s="7" t="s">
        <v>1397</v>
      </c>
      <c r="H117" s="43" t="s">
        <v>16</v>
      </c>
    </row>
    <row r="118" spans="1:8" x14ac:dyDescent="0.15">
      <c r="A118" s="2">
        <f t="shared" si="2"/>
        <v>117</v>
      </c>
      <c r="B118" s="8"/>
      <c r="C118" s="46" t="s">
        <v>59</v>
      </c>
      <c r="D118" s="30" t="s">
        <v>1409</v>
      </c>
      <c r="E118" s="3" t="s">
        <v>1410</v>
      </c>
      <c r="F118" s="15" t="str">
        <f t="shared" si="3"/>
        <v>====&gt;&gt;</v>
      </c>
      <c r="G118" s="7" t="s">
        <v>1409</v>
      </c>
      <c r="H118" s="43" t="s">
        <v>16</v>
      </c>
    </row>
    <row r="119" spans="1:8" x14ac:dyDescent="0.15">
      <c r="A119" s="2">
        <f t="shared" si="2"/>
        <v>118</v>
      </c>
      <c r="B119" s="8"/>
      <c r="C119" s="46" t="s">
        <v>59</v>
      </c>
      <c r="D119" s="30" t="s">
        <v>3</v>
      </c>
      <c r="E119" s="3" t="s">
        <v>1420</v>
      </c>
      <c r="F119" s="15" t="str">
        <f t="shared" si="3"/>
        <v>====&gt;&gt;</v>
      </c>
      <c r="G119" s="7" t="s">
        <v>3</v>
      </c>
      <c r="H119" s="43" t="s">
        <v>16</v>
      </c>
    </row>
    <row r="120" spans="1:8" x14ac:dyDescent="0.15">
      <c r="A120" s="2">
        <f t="shared" si="2"/>
        <v>119</v>
      </c>
      <c r="B120" s="8"/>
      <c r="C120" s="46" t="s">
        <v>59</v>
      </c>
      <c r="D120" s="30" t="s">
        <v>3</v>
      </c>
      <c r="E120" s="3" t="s">
        <v>1425</v>
      </c>
      <c r="F120" s="15" t="str">
        <f t="shared" si="3"/>
        <v>====&gt;&gt;</v>
      </c>
      <c r="G120" s="7" t="s">
        <v>3</v>
      </c>
      <c r="H120" s="43" t="s">
        <v>16</v>
      </c>
    </row>
    <row r="121" spans="1:8" x14ac:dyDescent="0.15">
      <c r="A121" s="2">
        <f t="shared" si="2"/>
        <v>120</v>
      </c>
      <c r="B121" s="8"/>
      <c r="C121" s="46" t="s">
        <v>59</v>
      </c>
      <c r="D121" s="30" t="s">
        <v>3</v>
      </c>
      <c r="E121" s="3" t="s">
        <v>1440</v>
      </c>
      <c r="F121" s="15" t="str">
        <f t="shared" si="3"/>
        <v>====&gt;&gt;</v>
      </c>
      <c r="G121" s="7" t="s">
        <v>3</v>
      </c>
      <c r="H121" s="43" t="s">
        <v>16</v>
      </c>
    </row>
    <row r="122" spans="1:8" x14ac:dyDescent="0.15">
      <c r="A122" s="2">
        <f t="shared" si="2"/>
        <v>121</v>
      </c>
      <c r="B122" s="8"/>
      <c r="C122" s="46" t="s">
        <v>59</v>
      </c>
      <c r="D122" s="30" t="s">
        <v>3</v>
      </c>
      <c r="E122" s="3" t="s">
        <v>1448</v>
      </c>
      <c r="F122" s="15" t="str">
        <f t="shared" si="3"/>
        <v>====&gt;&gt;</v>
      </c>
      <c r="G122" s="7" t="s">
        <v>3</v>
      </c>
      <c r="H122" s="43" t="s">
        <v>16</v>
      </c>
    </row>
    <row r="123" spans="1:8" x14ac:dyDescent="0.15">
      <c r="A123" s="2">
        <f t="shared" si="2"/>
        <v>122</v>
      </c>
      <c r="B123" s="8"/>
      <c r="C123" s="46" t="s">
        <v>59</v>
      </c>
      <c r="D123" s="30" t="s">
        <v>3</v>
      </c>
      <c r="E123" s="3" t="s">
        <v>1463</v>
      </c>
      <c r="F123" s="15" t="str">
        <f t="shared" si="3"/>
        <v>====&gt;&gt;</v>
      </c>
      <c r="G123" s="7" t="s">
        <v>3</v>
      </c>
      <c r="H123" s="43" t="s">
        <v>16</v>
      </c>
    </row>
    <row r="124" spans="1:8" x14ac:dyDescent="0.15">
      <c r="A124" s="2">
        <f t="shared" si="2"/>
        <v>123</v>
      </c>
      <c r="B124" s="8"/>
      <c r="C124" s="46"/>
      <c r="D124" s="30"/>
      <c r="E124" s="3"/>
      <c r="F124" s="15" t="str">
        <f t="shared" si="3"/>
        <v>====&gt;&gt;</v>
      </c>
      <c r="G124" s="7" t="s">
        <v>3</v>
      </c>
      <c r="H124" s="43" t="s">
        <v>16</v>
      </c>
    </row>
    <row r="125" spans="1:8" x14ac:dyDescent="0.15">
      <c r="A125" s="2">
        <f t="shared" si="2"/>
        <v>124</v>
      </c>
      <c r="B125" s="8"/>
      <c r="C125" s="46"/>
      <c r="D125" s="30"/>
      <c r="E125" s="3"/>
      <c r="F125" s="15" t="str">
        <f t="shared" si="3"/>
        <v>====&gt;&gt;</v>
      </c>
      <c r="G125" s="7" t="s">
        <v>3</v>
      </c>
      <c r="H125" s="43" t="s">
        <v>16</v>
      </c>
    </row>
    <row r="126" spans="1:8" x14ac:dyDescent="0.15">
      <c r="A126" s="2">
        <f t="shared" si="2"/>
        <v>125</v>
      </c>
      <c r="B126" s="8"/>
      <c r="C126" s="46"/>
      <c r="D126" s="30"/>
      <c r="E126" s="3"/>
      <c r="F126" s="15" t="str">
        <f t="shared" si="3"/>
        <v>====&gt;&gt;</v>
      </c>
      <c r="G126" s="7" t="s">
        <v>3</v>
      </c>
      <c r="H126" s="43" t="s">
        <v>16</v>
      </c>
    </row>
    <row r="127" spans="1:8" x14ac:dyDescent="0.15">
      <c r="A127" s="2">
        <f t="shared" si="2"/>
        <v>126</v>
      </c>
      <c r="B127" s="8"/>
      <c r="C127" s="46"/>
      <c r="D127" s="30"/>
      <c r="E127" s="3"/>
      <c r="F127" s="15" t="str">
        <f t="shared" si="3"/>
        <v>====&gt;&gt;</v>
      </c>
      <c r="G127" s="7" t="s">
        <v>3</v>
      </c>
      <c r="H127" s="43" t="s">
        <v>16</v>
      </c>
    </row>
    <row r="128" spans="1:8" x14ac:dyDescent="0.15">
      <c r="A128" s="2">
        <f t="shared" si="2"/>
        <v>127</v>
      </c>
      <c r="B128" s="8"/>
      <c r="C128" s="46"/>
      <c r="D128" s="30"/>
      <c r="E128" s="3"/>
      <c r="F128" s="15" t="str">
        <f t="shared" si="3"/>
        <v>====&gt;&gt;</v>
      </c>
      <c r="G128" s="7" t="s">
        <v>3</v>
      </c>
      <c r="H128" s="43" t="s">
        <v>16</v>
      </c>
    </row>
    <row r="129" spans="1:8" x14ac:dyDescent="0.15">
      <c r="A129" s="2">
        <f t="shared" si="2"/>
        <v>128</v>
      </c>
      <c r="B129" s="8"/>
      <c r="C129" s="46"/>
      <c r="D129" s="30"/>
      <c r="E129" s="3"/>
      <c r="F129" s="15" t="str">
        <f t="shared" si="3"/>
        <v>====&gt;&gt;</v>
      </c>
      <c r="G129" s="7" t="s">
        <v>3</v>
      </c>
      <c r="H129" s="43" t="s">
        <v>16</v>
      </c>
    </row>
    <row r="130" spans="1:8" x14ac:dyDescent="0.15">
      <c r="A130" s="2">
        <f t="shared" ref="A130:A150" si="4">ROW()-ROW(A$1)</f>
        <v>129</v>
      </c>
      <c r="B130" s="8"/>
      <c r="C130" s="46"/>
      <c r="D130" s="30"/>
      <c r="E130" s="3"/>
      <c r="F130" s="15" t="str">
        <f t="shared" si="3"/>
        <v>====&gt;&gt;</v>
      </c>
      <c r="G130" s="7" t="s">
        <v>3</v>
      </c>
      <c r="H130" s="43" t="s">
        <v>16</v>
      </c>
    </row>
    <row r="131" spans="1:8" x14ac:dyDescent="0.15">
      <c r="A131" s="2">
        <f t="shared" si="4"/>
        <v>130</v>
      </c>
      <c r="B131" s="8"/>
      <c r="C131" s="46"/>
      <c r="D131" s="30"/>
      <c r="E131" s="3"/>
      <c r="F131" s="15" t="str">
        <f t="shared" ref="F131:F150" si="5">HYPERLINK("#'"&amp;E131&amp;"'!A1","====&gt;&gt;")</f>
        <v>====&gt;&gt;</v>
      </c>
      <c r="G131" s="7" t="s">
        <v>3</v>
      </c>
      <c r="H131" s="43" t="s">
        <v>16</v>
      </c>
    </row>
    <row r="132" spans="1:8" x14ac:dyDescent="0.15">
      <c r="A132" s="2">
        <f t="shared" si="4"/>
        <v>131</v>
      </c>
      <c r="B132" s="8"/>
      <c r="C132" s="46"/>
      <c r="D132" s="30"/>
      <c r="E132" s="3"/>
      <c r="F132" s="15" t="str">
        <f t="shared" si="5"/>
        <v>====&gt;&gt;</v>
      </c>
      <c r="G132" s="7" t="s">
        <v>3</v>
      </c>
      <c r="H132" s="43" t="s">
        <v>16</v>
      </c>
    </row>
    <row r="133" spans="1:8" x14ac:dyDescent="0.15">
      <c r="A133" s="2">
        <f t="shared" si="4"/>
        <v>132</v>
      </c>
      <c r="B133" s="8"/>
      <c r="C133" s="46"/>
      <c r="D133" s="30"/>
      <c r="E133" s="3"/>
      <c r="F133" s="15" t="str">
        <f t="shared" si="5"/>
        <v>====&gt;&gt;</v>
      </c>
      <c r="G133" s="7" t="s">
        <v>3</v>
      </c>
      <c r="H133" s="43" t="s">
        <v>16</v>
      </c>
    </row>
    <row r="134" spans="1:8" x14ac:dyDescent="0.15">
      <c r="A134" s="2">
        <f t="shared" si="4"/>
        <v>133</v>
      </c>
      <c r="B134" s="8"/>
      <c r="C134" s="46"/>
      <c r="D134" s="30"/>
      <c r="E134" s="3"/>
      <c r="F134" s="15" t="str">
        <f t="shared" si="5"/>
        <v>====&gt;&gt;</v>
      </c>
      <c r="G134" s="7" t="s">
        <v>3</v>
      </c>
      <c r="H134" s="43" t="s">
        <v>16</v>
      </c>
    </row>
    <row r="135" spans="1:8" x14ac:dyDescent="0.15">
      <c r="A135" s="2">
        <f t="shared" si="4"/>
        <v>134</v>
      </c>
      <c r="B135" s="8"/>
      <c r="C135" s="46"/>
      <c r="D135" s="30"/>
      <c r="E135" s="3"/>
      <c r="F135" s="15" t="str">
        <f t="shared" si="5"/>
        <v>====&gt;&gt;</v>
      </c>
      <c r="G135" s="7" t="s">
        <v>3</v>
      </c>
      <c r="H135" s="43" t="s">
        <v>16</v>
      </c>
    </row>
    <row r="136" spans="1:8" x14ac:dyDescent="0.15">
      <c r="A136" s="2">
        <f t="shared" si="4"/>
        <v>135</v>
      </c>
      <c r="B136" s="8"/>
      <c r="C136" s="46"/>
      <c r="D136" s="30"/>
      <c r="E136" s="3"/>
      <c r="F136" s="15" t="str">
        <f t="shared" si="5"/>
        <v>====&gt;&gt;</v>
      </c>
      <c r="G136" s="7" t="s">
        <v>3</v>
      </c>
      <c r="H136" s="43" t="s">
        <v>16</v>
      </c>
    </row>
    <row r="137" spans="1:8" x14ac:dyDescent="0.15">
      <c r="A137" s="2">
        <f t="shared" si="4"/>
        <v>136</v>
      </c>
      <c r="B137" s="8"/>
      <c r="C137" s="46"/>
      <c r="D137" s="30"/>
      <c r="E137" s="3"/>
      <c r="F137" s="15" t="str">
        <f t="shared" si="5"/>
        <v>====&gt;&gt;</v>
      </c>
      <c r="G137" s="7" t="s">
        <v>3</v>
      </c>
      <c r="H137" s="43" t="s">
        <v>16</v>
      </c>
    </row>
    <row r="138" spans="1:8" x14ac:dyDescent="0.15">
      <c r="A138" s="2">
        <f t="shared" si="4"/>
        <v>137</v>
      </c>
      <c r="B138" s="8"/>
      <c r="C138" s="46"/>
      <c r="D138" s="30"/>
      <c r="E138" s="3"/>
      <c r="F138" s="15" t="str">
        <f t="shared" si="5"/>
        <v>====&gt;&gt;</v>
      </c>
      <c r="G138" s="7" t="s">
        <v>3</v>
      </c>
      <c r="H138" s="43" t="s">
        <v>16</v>
      </c>
    </row>
    <row r="139" spans="1:8" x14ac:dyDescent="0.15">
      <c r="A139" s="2">
        <f t="shared" si="4"/>
        <v>138</v>
      </c>
      <c r="B139" s="8"/>
      <c r="C139" s="46"/>
      <c r="D139" s="30"/>
      <c r="E139" s="3"/>
      <c r="F139" s="15" t="str">
        <f t="shared" si="5"/>
        <v>====&gt;&gt;</v>
      </c>
      <c r="G139" s="7" t="s">
        <v>3</v>
      </c>
      <c r="H139" s="43" t="s">
        <v>16</v>
      </c>
    </row>
    <row r="140" spans="1:8" x14ac:dyDescent="0.15">
      <c r="A140" s="2">
        <f t="shared" si="4"/>
        <v>139</v>
      </c>
      <c r="B140" s="8"/>
      <c r="C140" s="46"/>
      <c r="D140" s="30"/>
      <c r="E140" s="3"/>
      <c r="F140" s="15" t="str">
        <f t="shared" si="5"/>
        <v>====&gt;&gt;</v>
      </c>
      <c r="G140" s="7" t="s">
        <v>3</v>
      </c>
      <c r="H140" s="43" t="s">
        <v>16</v>
      </c>
    </row>
    <row r="141" spans="1:8" x14ac:dyDescent="0.15">
      <c r="A141" s="2">
        <f t="shared" si="4"/>
        <v>140</v>
      </c>
      <c r="B141" s="8"/>
      <c r="C141" s="46"/>
      <c r="D141" s="30"/>
      <c r="E141" s="3"/>
      <c r="F141" s="15" t="str">
        <f t="shared" si="5"/>
        <v>====&gt;&gt;</v>
      </c>
      <c r="G141" s="7" t="s">
        <v>3</v>
      </c>
      <c r="H141" s="43" t="s">
        <v>16</v>
      </c>
    </row>
    <row r="142" spans="1:8" x14ac:dyDescent="0.15">
      <c r="A142" s="2">
        <f t="shared" si="4"/>
        <v>141</v>
      </c>
      <c r="B142" s="8"/>
      <c r="C142" s="46"/>
      <c r="D142" s="30"/>
      <c r="E142" s="3"/>
      <c r="F142" s="15" t="str">
        <f t="shared" si="5"/>
        <v>====&gt;&gt;</v>
      </c>
      <c r="G142" s="7" t="s">
        <v>3</v>
      </c>
      <c r="H142" s="43" t="s">
        <v>16</v>
      </c>
    </row>
    <row r="143" spans="1:8" x14ac:dyDescent="0.15">
      <c r="A143" s="2">
        <f t="shared" si="4"/>
        <v>142</v>
      </c>
      <c r="B143" s="8"/>
      <c r="C143" s="46"/>
      <c r="D143" s="30"/>
      <c r="E143" s="3"/>
      <c r="F143" s="15" t="str">
        <f t="shared" si="5"/>
        <v>====&gt;&gt;</v>
      </c>
      <c r="G143" s="7" t="s">
        <v>3</v>
      </c>
      <c r="H143" s="43" t="s">
        <v>16</v>
      </c>
    </row>
    <row r="144" spans="1:8" x14ac:dyDescent="0.15">
      <c r="A144" s="2">
        <f t="shared" si="4"/>
        <v>143</v>
      </c>
      <c r="B144" s="8"/>
      <c r="C144" s="46"/>
      <c r="D144" s="30"/>
      <c r="E144" s="3"/>
      <c r="F144" s="15" t="str">
        <f t="shared" si="5"/>
        <v>====&gt;&gt;</v>
      </c>
      <c r="G144" s="7" t="s">
        <v>3</v>
      </c>
      <c r="H144" s="43" t="s">
        <v>16</v>
      </c>
    </row>
    <row r="145" spans="1:8" x14ac:dyDescent="0.15">
      <c r="A145" s="2">
        <f t="shared" si="4"/>
        <v>144</v>
      </c>
      <c r="B145" s="8"/>
      <c r="C145" s="46"/>
      <c r="D145" s="30"/>
      <c r="E145" s="3"/>
      <c r="F145" s="15" t="str">
        <f t="shared" si="5"/>
        <v>====&gt;&gt;</v>
      </c>
      <c r="G145" s="7" t="s">
        <v>3</v>
      </c>
      <c r="H145" s="43" t="s">
        <v>16</v>
      </c>
    </row>
    <row r="146" spans="1:8" x14ac:dyDescent="0.15">
      <c r="A146" s="2">
        <f t="shared" si="4"/>
        <v>145</v>
      </c>
      <c r="B146" s="8"/>
      <c r="C146" s="46"/>
      <c r="D146" s="30"/>
      <c r="E146" s="3"/>
      <c r="F146" s="15" t="str">
        <f t="shared" si="5"/>
        <v>====&gt;&gt;</v>
      </c>
      <c r="G146" s="7" t="s">
        <v>3</v>
      </c>
      <c r="H146" s="43" t="s">
        <v>16</v>
      </c>
    </row>
    <row r="147" spans="1:8" x14ac:dyDescent="0.15">
      <c r="A147" s="2">
        <f t="shared" si="4"/>
        <v>146</v>
      </c>
      <c r="B147" s="8"/>
      <c r="C147" s="46"/>
      <c r="D147" s="30"/>
      <c r="E147" s="3"/>
      <c r="F147" s="15" t="str">
        <f t="shared" si="5"/>
        <v>====&gt;&gt;</v>
      </c>
      <c r="G147" s="7" t="s">
        <v>3</v>
      </c>
      <c r="H147" s="43" t="s">
        <v>16</v>
      </c>
    </row>
    <row r="148" spans="1:8" x14ac:dyDescent="0.15">
      <c r="A148" s="2">
        <f t="shared" si="4"/>
        <v>147</v>
      </c>
      <c r="B148" s="8"/>
      <c r="C148" s="46"/>
      <c r="D148" s="30"/>
      <c r="E148" s="3"/>
      <c r="F148" s="15" t="str">
        <f t="shared" si="5"/>
        <v>====&gt;&gt;</v>
      </c>
      <c r="G148" s="7" t="s">
        <v>3</v>
      </c>
      <c r="H148" s="43" t="s">
        <v>16</v>
      </c>
    </row>
    <row r="149" spans="1:8" x14ac:dyDescent="0.15">
      <c r="A149" s="2">
        <f t="shared" si="4"/>
        <v>148</v>
      </c>
      <c r="B149" s="8"/>
      <c r="C149" s="46"/>
      <c r="D149" s="30"/>
      <c r="E149" s="3"/>
      <c r="F149" s="15" t="str">
        <f t="shared" si="5"/>
        <v>====&gt;&gt;</v>
      </c>
      <c r="G149" s="7" t="s">
        <v>3</v>
      </c>
      <c r="H149" s="43" t="s">
        <v>16</v>
      </c>
    </row>
    <row r="150" spans="1:8" x14ac:dyDescent="0.15">
      <c r="A150" s="2">
        <f t="shared" si="4"/>
        <v>149</v>
      </c>
      <c r="B150" s="8"/>
      <c r="C150" s="46"/>
      <c r="D150" s="30"/>
      <c r="E150" s="3"/>
      <c r="F150" s="15" t="str">
        <f t="shared" si="5"/>
        <v>====&gt;&gt;</v>
      </c>
      <c r="G150" s="7" t="s">
        <v>3</v>
      </c>
      <c r="H150" s="43" t="s">
        <v>16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>
      <selection activeCell="A3" sqref="A3:J5"/>
    </sheetView>
  </sheetViews>
  <sheetFormatPr defaultRowHeight="12" x14ac:dyDescent="0.15"/>
  <cols>
    <col min="1" max="1" width="6.25" style="28" customWidth="1"/>
    <col min="2" max="2" width="17.875" style="23" customWidth="1"/>
    <col min="3" max="3" width="15" style="23" bestFit="1" customWidth="1"/>
    <col min="4" max="4" width="12.375" style="23" customWidth="1"/>
    <col min="5" max="5" width="11.25" style="23" customWidth="1"/>
    <col min="6" max="6" width="11.75" style="23" customWidth="1"/>
    <col min="7" max="7" width="12.75" style="23" customWidth="1"/>
    <col min="8" max="9" width="14.875" style="23" customWidth="1"/>
    <col min="10" max="10" width="20.125" style="23" customWidth="1"/>
    <col min="11" max="16384" width="9" style="23"/>
  </cols>
  <sheetData>
    <row r="1" spans="1:10" x14ac:dyDescent="0.15">
      <c r="A1" s="21" t="str">
        <f>HYPERLINK(CONCATENATE("#'目录'!E",MATCH(B1,目录!E:E,0)),"返回")</f>
        <v>返回</v>
      </c>
      <c r="B1" s="23" t="s">
        <v>58</v>
      </c>
      <c r="C1" s="24" t="str">
        <f>INDEX(目录!D:D,MATCH(B1,目录!E:E,0))</f>
        <v>模板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/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x14ac:dyDescent="0.15">
      <c r="A7" s="11" t="s">
        <v>9</v>
      </c>
      <c r="B7" s="11" t="s">
        <v>17</v>
      </c>
      <c r="C7" s="11" t="s">
        <v>11</v>
      </c>
      <c r="D7" s="11" t="s">
        <v>10</v>
      </c>
      <c r="E7" s="11" t="s">
        <v>7</v>
      </c>
      <c r="F7" s="11" t="s">
        <v>12</v>
      </c>
      <c r="G7" s="11" t="s">
        <v>14</v>
      </c>
      <c r="H7" s="11" t="s">
        <v>13</v>
      </c>
      <c r="I7" s="11" t="s">
        <v>44</v>
      </c>
      <c r="J7" s="11" t="s">
        <v>25</v>
      </c>
    </row>
    <row r="8" spans="1:10" x14ac:dyDescent="0.15">
      <c r="A8" s="12">
        <f t="shared" ref="A8:A12" si="0">ROW(A8)-ROW(A$7)</f>
        <v>1</v>
      </c>
      <c r="B8" s="18"/>
      <c r="C8" s="18"/>
      <c r="D8" s="18"/>
      <c r="E8" s="19"/>
      <c r="F8" s="14"/>
      <c r="G8" s="12"/>
      <c r="H8" s="12"/>
      <c r="I8" s="29"/>
      <c r="J8" s="29"/>
    </row>
    <row r="9" spans="1:10" x14ac:dyDescent="0.15">
      <c r="A9" s="12">
        <f t="shared" si="0"/>
        <v>2</v>
      </c>
      <c r="B9" s="18"/>
      <c r="C9" s="18"/>
      <c r="D9" s="18"/>
      <c r="E9" s="19"/>
      <c r="F9" s="14"/>
      <c r="G9" s="12"/>
      <c r="H9" s="12"/>
      <c r="I9" s="29"/>
      <c r="J9" s="29"/>
    </row>
    <row r="10" spans="1:10" x14ac:dyDescent="0.15">
      <c r="A10" s="12">
        <f t="shared" si="0"/>
        <v>3</v>
      </c>
      <c r="B10" s="18"/>
      <c r="C10" s="18"/>
      <c r="D10" s="18"/>
      <c r="E10" s="19"/>
      <c r="F10" s="14"/>
      <c r="G10" s="12"/>
      <c r="H10" s="12"/>
      <c r="I10" s="29"/>
      <c r="J10" s="36"/>
    </row>
    <row r="11" spans="1:10" x14ac:dyDescent="0.15">
      <c r="A11" s="12">
        <f t="shared" si="0"/>
        <v>4</v>
      </c>
      <c r="B11" s="18"/>
      <c r="C11" s="18"/>
      <c r="D11" s="18"/>
      <c r="E11" s="19"/>
      <c r="F11" s="14"/>
      <c r="G11" s="12"/>
      <c r="H11" s="12"/>
      <c r="I11" s="29"/>
      <c r="J11" s="36"/>
    </row>
    <row r="12" spans="1:10" x14ac:dyDescent="0.15">
      <c r="A12" s="12">
        <f t="shared" si="0"/>
        <v>5</v>
      </c>
      <c r="B12" s="18"/>
      <c r="C12" s="18"/>
      <c r="D12" s="18"/>
      <c r="E12" s="19"/>
      <c r="F12" s="14"/>
      <c r="G12" s="12"/>
      <c r="H12" s="12"/>
      <c r="I12" s="29"/>
      <c r="J12" s="29"/>
    </row>
    <row r="13" spans="1:10" x14ac:dyDescent="0.15">
      <c r="A13" s="22" t="s">
        <v>6</v>
      </c>
      <c r="B13" s="22" t="s">
        <v>6</v>
      </c>
      <c r="C13" s="22" t="s">
        <v>6</v>
      </c>
      <c r="D13" s="13" t="s">
        <v>6</v>
      </c>
      <c r="E13" s="13" t="s">
        <v>6</v>
      </c>
      <c r="F13" s="13" t="s">
        <v>6</v>
      </c>
      <c r="G13" s="13" t="s">
        <v>6</v>
      </c>
      <c r="H13" s="13" t="s">
        <v>6</v>
      </c>
      <c r="I13" s="13" t="s">
        <v>6</v>
      </c>
      <c r="J13" s="13" t="s">
        <v>6</v>
      </c>
    </row>
    <row r="16" spans="1:10" x14ac:dyDescent="0.15">
      <c r="A16" s="11" t="s">
        <v>9</v>
      </c>
      <c r="B16" s="11" t="s">
        <v>18</v>
      </c>
      <c r="C16" s="11" t="s">
        <v>19</v>
      </c>
      <c r="D16" s="11" t="s">
        <v>20</v>
      </c>
      <c r="E16" s="11" t="s">
        <v>21</v>
      </c>
      <c r="F16" s="11" t="s">
        <v>22</v>
      </c>
      <c r="G16" s="11" t="s">
        <v>23</v>
      </c>
      <c r="H16" s="11" t="s">
        <v>24</v>
      </c>
      <c r="I16" s="11" t="s">
        <v>45</v>
      </c>
      <c r="J16" s="11" t="s">
        <v>26</v>
      </c>
    </row>
    <row r="17" spans="1:10" x14ac:dyDescent="0.15">
      <c r="A17" s="12">
        <f>ROW(A17)-ROW(A$16)</f>
        <v>1</v>
      </c>
      <c r="B17" s="18"/>
      <c r="C17" s="18"/>
      <c r="D17" s="18"/>
      <c r="E17" s="18"/>
      <c r="F17" s="18"/>
      <c r="G17" s="18"/>
      <c r="H17" s="18"/>
      <c r="I17" s="20"/>
      <c r="J17" s="18"/>
    </row>
    <row r="18" spans="1:10" x14ac:dyDescent="0.15">
      <c r="A18" s="12">
        <f>ROW(A18)-ROW(A$16)</f>
        <v>2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12">
        <f>ROW(A19)-ROW(A$16)</f>
        <v>3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12">
        <f>ROW(A20)-ROW(A$16)</f>
        <v>4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12">
        <f>ROW(A21)-ROW(A$16)</f>
        <v>5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dataValidations count="1">
    <dataValidation type="list" allowBlank="1" showInputMessage="1" showErrorMessage="1" sqref="I17:I21 G8:H12">
      <formula1>"Y,N"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37"/>
  <sheetViews>
    <sheetView workbookViewId="0">
      <selection activeCell="C1" sqref="C1"/>
    </sheetView>
  </sheetViews>
  <sheetFormatPr defaultRowHeight="12" x14ac:dyDescent="0.15"/>
  <cols>
    <col min="1" max="1" width="6.25" style="28" customWidth="1"/>
    <col min="2" max="2" width="15.125" style="23" bestFit="1" customWidth="1"/>
    <col min="3" max="3" width="15" style="23" bestFit="1" customWidth="1"/>
    <col min="4" max="4" width="12.375" style="23" customWidth="1"/>
    <col min="5" max="5" width="11.25" style="23" customWidth="1"/>
    <col min="6" max="6" width="11.75" style="23" customWidth="1"/>
    <col min="7" max="7" width="12.75" style="23" customWidth="1"/>
    <col min="8" max="8" width="14.875" style="23" customWidth="1"/>
    <col min="9" max="10" width="20.125" style="23" customWidth="1"/>
    <col min="11" max="16384" width="9" style="23"/>
  </cols>
  <sheetData>
    <row r="1" spans="1:10" x14ac:dyDescent="0.15">
      <c r="A1" s="21" t="e">
        <f>HYPERLINK(CONCATENATE("#'目录'!D",MATCH(B1,目录!D:D,0)),"返回")</f>
        <v>#N/A</v>
      </c>
      <c r="B1" s="23" t="s">
        <v>40</v>
      </c>
      <c r="C1" s="24" t="e">
        <f>INDEX(目录!E:E,MATCH(B1,目录!D:D,0))</f>
        <v>#N/A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</row>
    <row r="4" spans="1:10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</row>
    <row r="5" spans="1:10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</row>
    <row r="6" spans="1:10" x14ac:dyDescent="0.15">
      <c r="A6" s="25"/>
      <c r="B6" s="17"/>
      <c r="C6" s="17"/>
      <c r="D6" s="26"/>
      <c r="E6" s="27"/>
    </row>
    <row r="7" spans="1:10" s="28" customFormat="1" x14ac:dyDescent="0.15">
      <c r="A7" s="11" t="s">
        <v>9</v>
      </c>
      <c r="B7" s="11" t="s">
        <v>17</v>
      </c>
      <c r="C7" s="11" t="s">
        <v>11</v>
      </c>
      <c r="D7" s="11" t="s">
        <v>10</v>
      </c>
      <c r="E7" s="11" t="s">
        <v>7</v>
      </c>
      <c r="F7" s="11" t="s">
        <v>12</v>
      </c>
      <c r="G7" s="11" t="s">
        <v>14</v>
      </c>
      <c r="H7" s="11" t="s">
        <v>13</v>
      </c>
      <c r="I7" s="11" t="s">
        <v>44</v>
      </c>
      <c r="J7" s="11" t="s">
        <v>25</v>
      </c>
    </row>
    <row r="8" spans="1:10" x14ac:dyDescent="0.15">
      <c r="A8" s="12">
        <f t="shared" ref="A8:A25" si="0">ROW(A8)-ROW(A$7)</f>
        <v>1</v>
      </c>
      <c r="B8" s="18" t="s">
        <v>43</v>
      </c>
      <c r="C8" s="19" t="s">
        <v>29</v>
      </c>
      <c r="D8" s="18" t="s">
        <v>28</v>
      </c>
      <c r="E8" s="19">
        <v>32</v>
      </c>
      <c r="F8" s="14"/>
      <c r="G8" s="12" t="s">
        <v>16</v>
      </c>
      <c r="H8" s="12"/>
      <c r="I8" s="29"/>
      <c r="J8" s="29"/>
    </row>
    <row r="9" spans="1:10" x14ac:dyDescent="0.15">
      <c r="A9" s="12">
        <v>2</v>
      </c>
      <c r="B9" s="18" t="s">
        <v>33</v>
      </c>
      <c r="C9" s="18" t="s">
        <v>36</v>
      </c>
      <c r="D9" s="18" t="s">
        <v>30</v>
      </c>
      <c r="E9" s="19"/>
      <c r="F9" s="19"/>
      <c r="G9" s="20" t="s">
        <v>15</v>
      </c>
      <c r="H9" s="20"/>
      <c r="I9" s="29"/>
      <c r="J9" s="29" t="s">
        <v>37</v>
      </c>
    </row>
    <row r="10" spans="1:10" x14ac:dyDescent="0.15">
      <c r="A10" s="12">
        <f t="shared" si="0"/>
        <v>3</v>
      </c>
      <c r="B10" s="18" t="s">
        <v>52</v>
      </c>
      <c r="C10" s="18" t="s">
        <v>32</v>
      </c>
      <c r="D10" s="18" t="s">
        <v>31</v>
      </c>
      <c r="E10" s="19">
        <v>24</v>
      </c>
      <c r="F10" s="19">
        <v>6</v>
      </c>
      <c r="G10" s="20"/>
      <c r="H10" s="20"/>
      <c r="I10" s="29"/>
      <c r="J10" s="29"/>
    </row>
    <row r="11" spans="1:10" x14ac:dyDescent="0.15">
      <c r="A11" s="12">
        <f t="shared" si="0"/>
        <v>4</v>
      </c>
      <c r="B11" s="18" t="s">
        <v>39</v>
      </c>
      <c r="C11" s="18" t="s">
        <v>38</v>
      </c>
      <c r="D11" s="18" t="s">
        <v>31</v>
      </c>
      <c r="E11" s="19">
        <v>24</v>
      </c>
      <c r="F11" s="19">
        <v>6</v>
      </c>
      <c r="G11" s="20"/>
      <c r="H11" s="20"/>
      <c r="I11" s="29"/>
      <c r="J11" s="29"/>
    </row>
    <row r="12" spans="1:10" x14ac:dyDescent="0.15">
      <c r="A12" s="12">
        <f t="shared" si="0"/>
        <v>5</v>
      </c>
      <c r="B12" s="18" t="s">
        <v>54</v>
      </c>
      <c r="C12" s="18" t="s">
        <v>56</v>
      </c>
      <c r="D12" s="18" t="s">
        <v>31</v>
      </c>
      <c r="E12" s="19">
        <v>24</v>
      </c>
      <c r="F12" s="19">
        <v>6</v>
      </c>
      <c r="G12" s="20"/>
      <c r="H12" s="20"/>
      <c r="I12" s="29">
        <v>0</v>
      </c>
      <c r="J12" s="29" t="s">
        <v>55</v>
      </c>
    </row>
    <row r="13" spans="1:10" x14ac:dyDescent="0.15">
      <c r="A13" s="12">
        <f t="shared" si="0"/>
        <v>6</v>
      </c>
      <c r="B13" s="18"/>
      <c r="C13" s="18"/>
      <c r="D13" s="18"/>
      <c r="E13" s="19"/>
      <c r="F13" s="19"/>
      <c r="G13" s="20"/>
      <c r="H13" s="20"/>
      <c r="I13" s="29"/>
      <c r="J13" s="29"/>
    </row>
    <row r="14" spans="1:10" x14ac:dyDescent="0.15">
      <c r="A14" s="12">
        <f t="shared" si="0"/>
        <v>7</v>
      </c>
      <c r="B14" s="18"/>
      <c r="C14" s="18"/>
      <c r="D14" s="18"/>
      <c r="E14" s="19"/>
      <c r="F14" s="19"/>
      <c r="G14" s="20"/>
      <c r="H14" s="20"/>
      <c r="I14" s="29"/>
      <c r="J14" s="29"/>
    </row>
    <row r="15" spans="1:10" x14ac:dyDescent="0.15">
      <c r="A15" s="12">
        <f t="shared" si="0"/>
        <v>8</v>
      </c>
      <c r="B15" s="18"/>
      <c r="C15" s="18"/>
      <c r="D15" s="18"/>
      <c r="E15" s="19"/>
      <c r="F15" s="19"/>
      <c r="G15" s="20"/>
      <c r="H15" s="20"/>
      <c r="I15" s="29"/>
      <c r="J15" s="29"/>
    </row>
    <row r="16" spans="1:10" x14ac:dyDescent="0.15">
      <c r="A16" s="12">
        <f t="shared" si="0"/>
        <v>9</v>
      </c>
      <c r="B16" s="18"/>
      <c r="C16" s="18"/>
      <c r="D16" s="18"/>
      <c r="E16" s="19"/>
      <c r="F16" s="19"/>
      <c r="G16" s="20"/>
      <c r="H16" s="20"/>
      <c r="I16" s="29"/>
      <c r="J16" s="29"/>
    </row>
    <row r="17" spans="1:10" x14ac:dyDescent="0.15">
      <c r="A17" s="12">
        <f t="shared" si="0"/>
        <v>10</v>
      </c>
      <c r="B17" s="18"/>
      <c r="C17" s="18"/>
      <c r="D17" s="18"/>
      <c r="E17" s="19"/>
      <c r="F17" s="19"/>
      <c r="G17" s="20"/>
      <c r="H17" s="20"/>
      <c r="I17" s="29"/>
      <c r="J17" s="29"/>
    </row>
    <row r="18" spans="1:10" x14ac:dyDescent="0.15">
      <c r="A18" s="12">
        <f t="shared" si="0"/>
        <v>11</v>
      </c>
      <c r="B18" s="18"/>
      <c r="C18" s="18"/>
      <c r="D18" s="18"/>
      <c r="E18" s="19"/>
      <c r="F18" s="19"/>
      <c r="G18" s="20"/>
      <c r="H18" s="20"/>
      <c r="I18" s="29"/>
      <c r="J18" s="29"/>
    </row>
    <row r="19" spans="1:10" x14ac:dyDescent="0.15">
      <c r="A19" s="12">
        <f t="shared" si="0"/>
        <v>12</v>
      </c>
      <c r="B19" s="18"/>
      <c r="C19" s="18"/>
      <c r="D19" s="18"/>
      <c r="E19" s="19"/>
      <c r="F19" s="19"/>
      <c r="G19" s="20"/>
      <c r="H19" s="20"/>
      <c r="I19" s="29"/>
      <c r="J19" s="29"/>
    </row>
    <row r="20" spans="1:10" x14ac:dyDescent="0.15">
      <c r="A20" s="12">
        <f t="shared" si="0"/>
        <v>13</v>
      </c>
      <c r="B20" s="18"/>
      <c r="C20" s="18"/>
      <c r="D20" s="18"/>
      <c r="E20" s="19"/>
      <c r="F20" s="19"/>
      <c r="G20" s="20"/>
      <c r="H20" s="20"/>
      <c r="I20" s="29"/>
      <c r="J20" s="29"/>
    </row>
    <row r="21" spans="1:10" x14ac:dyDescent="0.15">
      <c r="A21" s="12">
        <f t="shared" si="0"/>
        <v>14</v>
      </c>
      <c r="B21" s="18"/>
      <c r="C21" s="18"/>
      <c r="D21" s="18"/>
      <c r="E21" s="19"/>
      <c r="F21" s="19"/>
      <c r="G21" s="20"/>
      <c r="H21" s="20"/>
      <c r="I21" s="29"/>
      <c r="J21" s="29"/>
    </row>
    <row r="22" spans="1:10" x14ac:dyDescent="0.15">
      <c r="A22" s="12">
        <f t="shared" si="0"/>
        <v>15</v>
      </c>
      <c r="B22" s="18"/>
      <c r="C22" s="18"/>
      <c r="D22" s="18"/>
      <c r="E22" s="19"/>
      <c r="F22" s="19"/>
      <c r="G22" s="20"/>
      <c r="H22" s="20"/>
      <c r="I22" s="29"/>
      <c r="J22" s="29"/>
    </row>
    <row r="23" spans="1:10" x14ac:dyDescent="0.15">
      <c r="A23" s="12">
        <f t="shared" si="0"/>
        <v>16</v>
      </c>
      <c r="B23" s="18"/>
      <c r="C23" s="18"/>
      <c r="D23" s="18"/>
      <c r="E23" s="19"/>
      <c r="F23" s="19"/>
      <c r="G23" s="20"/>
      <c r="H23" s="20"/>
      <c r="I23" s="29"/>
      <c r="J23" s="29"/>
    </row>
    <row r="24" spans="1:10" x14ac:dyDescent="0.15">
      <c r="A24" s="12">
        <f t="shared" si="0"/>
        <v>17</v>
      </c>
      <c r="B24" s="18"/>
      <c r="C24" s="18"/>
      <c r="D24" s="18"/>
      <c r="E24" s="19"/>
      <c r="F24" s="19"/>
      <c r="G24" s="20"/>
      <c r="H24" s="20"/>
      <c r="I24" s="29"/>
      <c r="J24" s="29"/>
    </row>
    <row r="25" spans="1:10" x14ac:dyDescent="0.15">
      <c r="A25" s="12">
        <f t="shared" si="0"/>
        <v>18</v>
      </c>
      <c r="B25" s="18"/>
      <c r="C25" s="18"/>
      <c r="D25" s="18"/>
      <c r="E25" s="19"/>
      <c r="F25" s="19"/>
      <c r="G25" s="20"/>
      <c r="H25" s="20"/>
      <c r="I25" s="29"/>
      <c r="J25" s="29"/>
    </row>
    <row r="26" spans="1:10" x14ac:dyDescent="0.15">
      <c r="A26" s="22" t="s">
        <v>6</v>
      </c>
      <c r="B26" s="22" t="s">
        <v>6</v>
      </c>
      <c r="C26" s="22" t="s">
        <v>6</v>
      </c>
      <c r="D26" s="13" t="s">
        <v>6</v>
      </c>
      <c r="E26" s="13" t="s">
        <v>6</v>
      </c>
      <c r="F26" s="13" t="s">
        <v>6</v>
      </c>
      <c r="G26" s="13" t="s">
        <v>6</v>
      </c>
      <c r="H26" s="13" t="s">
        <v>6</v>
      </c>
      <c r="I26" s="13" t="s">
        <v>6</v>
      </c>
      <c r="J26" s="13" t="s">
        <v>6</v>
      </c>
    </row>
    <row r="29" spans="1:10" x14ac:dyDescent="0.15">
      <c r="A29" s="11" t="s">
        <v>9</v>
      </c>
      <c r="B29" s="11" t="s">
        <v>18</v>
      </c>
      <c r="C29" s="11" t="s">
        <v>19</v>
      </c>
      <c r="D29" s="11" t="s">
        <v>20</v>
      </c>
      <c r="E29" s="11" t="s">
        <v>21</v>
      </c>
      <c r="F29" s="11" t="s">
        <v>22</v>
      </c>
      <c r="G29" s="11" t="s">
        <v>23</v>
      </c>
      <c r="H29" s="11" t="s">
        <v>24</v>
      </c>
      <c r="I29" s="11" t="s">
        <v>45</v>
      </c>
      <c r="J29" s="11" t="s">
        <v>25</v>
      </c>
    </row>
    <row r="30" spans="1:10" x14ac:dyDescent="0.15">
      <c r="A30" s="12">
        <f>ROW(A30)-ROW(A$29)</f>
        <v>1</v>
      </c>
      <c r="B30" s="18"/>
      <c r="C30" s="18" t="s">
        <v>34</v>
      </c>
      <c r="D30" s="18" t="s">
        <v>33</v>
      </c>
      <c r="E30" s="18"/>
      <c r="F30" s="18"/>
      <c r="G30" s="18"/>
      <c r="H30" s="18"/>
      <c r="I30" s="20"/>
      <c r="J30" s="18"/>
    </row>
    <row r="31" spans="1:10" x14ac:dyDescent="0.15">
      <c r="A31" s="12">
        <f t="shared" ref="A31:A36" si="1">ROW(A31)-ROW(A$29)</f>
        <v>2</v>
      </c>
      <c r="B31" s="18"/>
      <c r="C31" s="18"/>
      <c r="D31" s="18"/>
      <c r="E31" s="18"/>
      <c r="F31" s="18"/>
      <c r="G31" s="18"/>
      <c r="H31" s="18"/>
      <c r="I31" s="20"/>
      <c r="J31" s="18"/>
    </row>
    <row r="32" spans="1:10" x14ac:dyDescent="0.15">
      <c r="A32" s="12">
        <f t="shared" si="1"/>
        <v>3</v>
      </c>
      <c r="B32" s="18"/>
      <c r="C32" s="18"/>
      <c r="D32" s="18"/>
      <c r="E32" s="18"/>
      <c r="F32" s="18"/>
      <c r="G32" s="18"/>
      <c r="H32" s="18"/>
      <c r="I32" s="20"/>
      <c r="J32" s="18"/>
    </row>
    <row r="33" spans="1:10" x14ac:dyDescent="0.15">
      <c r="A33" s="12">
        <f t="shared" si="1"/>
        <v>4</v>
      </c>
      <c r="B33" s="18"/>
      <c r="C33" s="18"/>
      <c r="D33" s="18"/>
      <c r="E33" s="18"/>
      <c r="F33" s="18"/>
      <c r="G33" s="18"/>
      <c r="H33" s="18"/>
      <c r="I33" s="20"/>
      <c r="J33" s="18"/>
    </row>
    <row r="34" spans="1:10" x14ac:dyDescent="0.15">
      <c r="A34" s="12">
        <f t="shared" si="1"/>
        <v>5</v>
      </c>
      <c r="B34" s="18"/>
      <c r="C34" s="18"/>
      <c r="D34" s="18"/>
      <c r="E34" s="18"/>
      <c r="F34" s="18"/>
      <c r="G34" s="18"/>
      <c r="H34" s="18"/>
      <c r="I34" s="20"/>
      <c r="J34" s="18"/>
    </row>
    <row r="35" spans="1:10" x14ac:dyDescent="0.15">
      <c r="A35" s="12">
        <f t="shared" si="1"/>
        <v>6</v>
      </c>
      <c r="B35" s="18"/>
      <c r="C35" s="18"/>
      <c r="D35" s="18"/>
      <c r="E35" s="18"/>
      <c r="F35" s="18"/>
      <c r="G35" s="18"/>
      <c r="H35" s="18"/>
      <c r="I35" s="20"/>
      <c r="J35" s="18"/>
    </row>
    <row r="36" spans="1:10" x14ac:dyDescent="0.15">
      <c r="A36" s="12">
        <f t="shared" si="1"/>
        <v>7</v>
      </c>
      <c r="B36" s="18"/>
      <c r="C36" s="18"/>
      <c r="D36" s="18"/>
      <c r="E36" s="18"/>
      <c r="F36" s="18"/>
      <c r="G36" s="18"/>
      <c r="H36" s="18"/>
      <c r="I36" s="20"/>
      <c r="J36" s="18"/>
    </row>
    <row r="37" spans="1:10" x14ac:dyDescent="0.15">
      <c r="A37" s="22" t="s">
        <v>6</v>
      </c>
      <c r="B37" s="22" t="s">
        <v>6</v>
      </c>
      <c r="C37" s="22" t="s">
        <v>6</v>
      </c>
      <c r="D37" s="13" t="s">
        <v>6</v>
      </c>
      <c r="E37" s="13" t="s">
        <v>6</v>
      </c>
      <c r="F37" s="13" t="s">
        <v>6</v>
      </c>
      <c r="G37" s="13" t="s">
        <v>6</v>
      </c>
      <c r="H37" s="13" t="s">
        <v>6</v>
      </c>
      <c r="I37" s="13" t="s">
        <v>6</v>
      </c>
      <c r="J37" s="13" t="s">
        <v>6</v>
      </c>
    </row>
  </sheetData>
  <mergeCells count="1">
    <mergeCell ref="A3:J5"/>
  </mergeCells>
  <phoneticPr fontId="2" type="noConversion"/>
  <dataValidations count="1">
    <dataValidation type="list" allowBlank="1" showInputMessage="1" showErrorMessage="1" sqref="I30:I36 G8:H25">
      <formula1>"Y,N"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1" tint="4.9989318521683403E-2"/>
  </sheetPr>
  <dimension ref="A1:J37"/>
  <sheetViews>
    <sheetView workbookViewId="0">
      <selection activeCell="A3" sqref="A3:J5"/>
    </sheetView>
  </sheetViews>
  <sheetFormatPr defaultRowHeight="12" x14ac:dyDescent="0.15"/>
  <cols>
    <col min="1" max="1" width="6.25" style="28" customWidth="1"/>
    <col min="2" max="2" width="15.125" style="23" bestFit="1" customWidth="1"/>
    <col min="3" max="3" width="15" style="23" bestFit="1" customWidth="1"/>
    <col min="4" max="4" width="12.375" style="23" customWidth="1"/>
    <col min="5" max="5" width="11.25" style="23" customWidth="1"/>
    <col min="6" max="6" width="11.75" style="23" customWidth="1"/>
    <col min="7" max="7" width="12.75" style="23" customWidth="1"/>
    <col min="8" max="8" width="14.875" style="23" customWidth="1"/>
    <col min="9" max="9" width="13.25" style="23" customWidth="1"/>
    <col min="10" max="10" width="20.125" style="23" customWidth="1"/>
    <col min="11" max="16384" width="9" style="23"/>
  </cols>
  <sheetData>
    <row r="1" spans="1:10" x14ac:dyDescent="0.15">
      <c r="A1" s="21" t="e">
        <f>HYPERLINK(CONCATENATE("#'目录'!D",MATCH(B1,目录!D:D,0)),"返回")</f>
        <v>#N/A</v>
      </c>
      <c r="B1" s="45" t="s">
        <v>41</v>
      </c>
      <c r="C1" s="24" t="e">
        <f>INDEX(目录!E:E,MATCH(B1,目录!D:D,0))</f>
        <v>#N/A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</row>
    <row r="4" spans="1:10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</row>
    <row r="5" spans="1:10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</row>
    <row r="6" spans="1:10" x14ac:dyDescent="0.15">
      <c r="A6" s="25"/>
      <c r="B6" s="17"/>
      <c r="C6" s="17"/>
      <c r="D6" s="26"/>
      <c r="E6" s="27"/>
    </row>
    <row r="7" spans="1:10" s="28" customFormat="1" x14ac:dyDescent="0.15">
      <c r="A7" s="11" t="s">
        <v>9</v>
      </c>
      <c r="B7" s="11" t="s">
        <v>17</v>
      </c>
      <c r="C7" s="11" t="s">
        <v>11</v>
      </c>
      <c r="D7" s="11" t="s">
        <v>10</v>
      </c>
      <c r="E7" s="11" t="s">
        <v>7</v>
      </c>
      <c r="F7" s="11" t="s">
        <v>12</v>
      </c>
      <c r="G7" s="11" t="s">
        <v>14</v>
      </c>
      <c r="H7" s="11" t="s">
        <v>13</v>
      </c>
      <c r="I7" s="11" t="s">
        <v>44</v>
      </c>
      <c r="J7" s="11" t="s">
        <v>25</v>
      </c>
    </row>
    <row r="8" spans="1:10" x14ac:dyDescent="0.15">
      <c r="A8" s="12">
        <f t="shared" ref="A8:A25" si="0">ROW(A8)-ROW(A$7)</f>
        <v>1</v>
      </c>
      <c r="B8" s="18" t="s">
        <v>35</v>
      </c>
      <c r="C8" s="19" t="s">
        <v>42</v>
      </c>
      <c r="D8" s="18" t="s">
        <v>28</v>
      </c>
      <c r="E8" s="19">
        <v>32</v>
      </c>
      <c r="F8" s="14"/>
      <c r="G8" s="12" t="s">
        <v>16</v>
      </c>
      <c r="H8" s="12" t="s">
        <v>15</v>
      </c>
      <c r="I8" s="29"/>
      <c r="J8" s="29"/>
    </row>
    <row r="9" spans="1:10" x14ac:dyDescent="0.15">
      <c r="A9" s="12">
        <v>2</v>
      </c>
      <c r="B9" s="18" t="s">
        <v>33</v>
      </c>
      <c r="C9" s="18" t="s">
        <v>36</v>
      </c>
      <c r="D9" s="18" t="s">
        <v>30</v>
      </c>
      <c r="E9" s="19"/>
      <c r="F9" s="19"/>
      <c r="G9" s="20" t="s">
        <v>15</v>
      </c>
      <c r="H9" s="12" t="s">
        <v>15</v>
      </c>
      <c r="I9" s="29"/>
      <c r="J9" s="29" t="s">
        <v>37</v>
      </c>
    </row>
    <row r="10" spans="1:10" x14ac:dyDescent="0.15">
      <c r="A10" s="12">
        <f t="shared" si="0"/>
        <v>3</v>
      </c>
      <c r="B10" s="18" t="s">
        <v>53</v>
      </c>
      <c r="C10" s="18" t="s">
        <v>32</v>
      </c>
      <c r="D10" s="18" t="s">
        <v>31</v>
      </c>
      <c r="E10" s="19">
        <v>24</v>
      </c>
      <c r="F10" s="19">
        <v>6</v>
      </c>
      <c r="G10" s="20"/>
      <c r="H10" s="20"/>
      <c r="I10" s="29"/>
      <c r="J10" s="29"/>
    </row>
    <row r="11" spans="1:10" x14ac:dyDescent="0.15">
      <c r="A11" s="12">
        <f t="shared" si="0"/>
        <v>4</v>
      </c>
      <c r="B11" s="18" t="s">
        <v>39</v>
      </c>
      <c r="C11" s="18" t="s">
        <v>38</v>
      </c>
      <c r="D11" s="18" t="s">
        <v>31</v>
      </c>
      <c r="E11" s="19">
        <v>24</v>
      </c>
      <c r="F11" s="19">
        <v>6</v>
      </c>
      <c r="G11" s="20"/>
      <c r="H11" s="20"/>
      <c r="I11" s="29"/>
      <c r="J11" s="29"/>
    </row>
    <row r="12" spans="1:10" x14ac:dyDescent="0.15">
      <c r="A12" s="12">
        <f t="shared" si="0"/>
        <v>5</v>
      </c>
      <c r="B12" s="18"/>
      <c r="C12" s="18"/>
      <c r="D12" s="18"/>
      <c r="E12" s="19"/>
      <c r="F12" s="19"/>
      <c r="G12" s="20"/>
      <c r="H12" s="20"/>
      <c r="I12" s="29"/>
      <c r="J12" s="29"/>
    </row>
    <row r="13" spans="1:10" x14ac:dyDescent="0.15">
      <c r="A13" s="12">
        <f t="shared" si="0"/>
        <v>6</v>
      </c>
      <c r="B13" s="18"/>
      <c r="C13" s="18"/>
      <c r="D13" s="18"/>
      <c r="E13" s="19"/>
      <c r="F13" s="19"/>
      <c r="G13" s="20"/>
      <c r="H13" s="20"/>
      <c r="I13" s="29"/>
      <c r="J13" s="29"/>
    </row>
    <row r="14" spans="1:10" x14ac:dyDescent="0.15">
      <c r="A14" s="12">
        <f t="shared" si="0"/>
        <v>7</v>
      </c>
      <c r="B14" s="18"/>
      <c r="C14" s="18"/>
      <c r="D14" s="18"/>
      <c r="E14" s="19"/>
      <c r="F14" s="19"/>
      <c r="G14" s="20"/>
      <c r="H14" s="20"/>
      <c r="I14" s="29"/>
      <c r="J14" s="29"/>
    </row>
    <row r="15" spans="1:10" x14ac:dyDescent="0.15">
      <c r="A15" s="12">
        <f t="shared" si="0"/>
        <v>8</v>
      </c>
      <c r="B15" s="18"/>
      <c r="C15" s="18"/>
      <c r="D15" s="18"/>
      <c r="E15" s="19"/>
      <c r="F15" s="19"/>
      <c r="G15" s="20"/>
      <c r="H15" s="20"/>
      <c r="I15" s="29"/>
      <c r="J15" s="29"/>
    </row>
    <row r="16" spans="1:10" x14ac:dyDescent="0.15">
      <c r="A16" s="12">
        <f t="shared" si="0"/>
        <v>9</v>
      </c>
      <c r="B16" s="18"/>
      <c r="C16" s="18"/>
      <c r="D16" s="18"/>
      <c r="E16" s="19"/>
      <c r="F16" s="19"/>
      <c r="G16" s="20"/>
      <c r="H16" s="20"/>
      <c r="I16" s="29"/>
      <c r="J16" s="29"/>
    </row>
    <row r="17" spans="1:10" x14ac:dyDescent="0.15">
      <c r="A17" s="12">
        <f t="shared" si="0"/>
        <v>10</v>
      </c>
      <c r="B17" s="18"/>
      <c r="C17" s="18"/>
      <c r="D17" s="18"/>
      <c r="E17" s="19"/>
      <c r="F17" s="19"/>
      <c r="G17" s="20"/>
      <c r="H17" s="20"/>
      <c r="I17" s="29"/>
      <c r="J17" s="29"/>
    </row>
    <row r="18" spans="1:10" x14ac:dyDescent="0.15">
      <c r="A18" s="12">
        <f t="shared" si="0"/>
        <v>11</v>
      </c>
      <c r="B18" s="18"/>
      <c r="C18" s="18"/>
      <c r="D18" s="18"/>
      <c r="E18" s="19"/>
      <c r="F18" s="19"/>
      <c r="G18" s="20"/>
      <c r="H18" s="20"/>
      <c r="I18" s="29"/>
      <c r="J18" s="29"/>
    </row>
    <row r="19" spans="1:10" x14ac:dyDescent="0.15">
      <c r="A19" s="12">
        <f t="shared" si="0"/>
        <v>12</v>
      </c>
      <c r="B19" s="18"/>
      <c r="C19" s="18"/>
      <c r="D19" s="18"/>
      <c r="E19" s="19"/>
      <c r="F19" s="19"/>
      <c r="G19" s="20"/>
      <c r="H19" s="20"/>
      <c r="I19" s="29"/>
      <c r="J19" s="29"/>
    </row>
    <row r="20" spans="1:10" x14ac:dyDescent="0.15">
      <c r="A20" s="12">
        <f t="shared" si="0"/>
        <v>13</v>
      </c>
      <c r="B20" s="18"/>
      <c r="C20" s="18"/>
      <c r="D20" s="18"/>
      <c r="E20" s="19"/>
      <c r="F20" s="19"/>
      <c r="G20" s="20"/>
      <c r="H20" s="20"/>
      <c r="I20" s="29"/>
      <c r="J20" s="29"/>
    </row>
    <row r="21" spans="1:10" x14ac:dyDescent="0.15">
      <c r="A21" s="12">
        <f t="shared" si="0"/>
        <v>14</v>
      </c>
      <c r="B21" s="18"/>
      <c r="C21" s="18"/>
      <c r="D21" s="18"/>
      <c r="E21" s="19"/>
      <c r="F21" s="19"/>
      <c r="G21" s="20"/>
      <c r="H21" s="20"/>
      <c r="I21" s="29"/>
      <c r="J21" s="29"/>
    </row>
    <row r="22" spans="1:10" x14ac:dyDescent="0.15">
      <c r="A22" s="12">
        <f t="shared" si="0"/>
        <v>15</v>
      </c>
      <c r="B22" s="18"/>
      <c r="C22" s="18"/>
      <c r="D22" s="18"/>
      <c r="E22" s="19"/>
      <c r="F22" s="19"/>
      <c r="G22" s="20"/>
      <c r="H22" s="20"/>
      <c r="I22" s="29"/>
      <c r="J22" s="29"/>
    </row>
    <row r="23" spans="1:10" x14ac:dyDescent="0.15">
      <c r="A23" s="12">
        <f t="shared" si="0"/>
        <v>16</v>
      </c>
      <c r="B23" s="18"/>
      <c r="C23" s="18"/>
      <c r="D23" s="18"/>
      <c r="E23" s="19"/>
      <c r="F23" s="19"/>
      <c r="G23" s="20"/>
      <c r="H23" s="20"/>
      <c r="I23" s="29"/>
      <c r="J23" s="29"/>
    </row>
    <row r="24" spans="1:10" x14ac:dyDescent="0.15">
      <c r="A24" s="12">
        <f t="shared" si="0"/>
        <v>17</v>
      </c>
      <c r="B24" s="18"/>
      <c r="C24" s="18"/>
      <c r="D24" s="18"/>
      <c r="E24" s="19"/>
      <c r="F24" s="19"/>
      <c r="G24" s="20"/>
      <c r="H24" s="20"/>
      <c r="I24" s="29"/>
      <c r="J24" s="29"/>
    </row>
    <row r="25" spans="1:10" x14ac:dyDescent="0.15">
      <c r="A25" s="12">
        <f t="shared" si="0"/>
        <v>18</v>
      </c>
      <c r="B25" s="18"/>
      <c r="C25" s="18"/>
      <c r="D25" s="18"/>
      <c r="E25" s="19"/>
      <c r="F25" s="19"/>
      <c r="G25" s="20"/>
      <c r="H25" s="20"/>
      <c r="I25" s="29"/>
      <c r="J25" s="29"/>
    </row>
    <row r="26" spans="1:10" x14ac:dyDescent="0.15">
      <c r="A26" s="22" t="s">
        <v>6</v>
      </c>
      <c r="B26" s="22" t="s">
        <v>6</v>
      </c>
      <c r="C26" s="22" t="s">
        <v>6</v>
      </c>
      <c r="D26" s="13" t="s">
        <v>6</v>
      </c>
      <c r="E26" s="13" t="s">
        <v>6</v>
      </c>
      <c r="F26" s="13" t="s">
        <v>6</v>
      </c>
      <c r="G26" s="13" t="s">
        <v>6</v>
      </c>
      <c r="H26" s="13" t="s">
        <v>6</v>
      </c>
      <c r="I26" s="13" t="s">
        <v>6</v>
      </c>
      <c r="J26" s="13" t="s">
        <v>6</v>
      </c>
    </row>
    <row r="29" spans="1:10" x14ac:dyDescent="0.15">
      <c r="A29" s="11" t="s">
        <v>9</v>
      </c>
      <c r="B29" s="11" t="s">
        <v>18</v>
      </c>
      <c r="C29" s="11" t="s">
        <v>19</v>
      </c>
      <c r="D29" s="11" t="s">
        <v>20</v>
      </c>
      <c r="E29" s="11" t="s">
        <v>21</v>
      </c>
      <c r="F29" s="11" t="s">
        <v>22</v>
      </c>
      <c r="G29" s="11" t="s">
        <v>23</v>
      </c>
      <c r="H29" s="11" t="s">
        <v>24</v>
      </c>
      <c r="I29" s="11" t="s">
        <v>45</v>
      </c>
      <c r="J29" s="11" t="s">
        <v>25</v>
      </c>
    </row>
    <row r="30" spans="1:10" x14ac:dyDescent="0.15">
      <c r="A30" s="12">
        <f>ROW(A30)-ROW(A$29)</f>
        <v>1</v>
      </c>
      <c r="B30" s="18"/>
      <c r="C30" s="18"/>
      <c r="D30" s="18"/>
      <c r="E30" s="18"/>
      <c r="F30" s="18"/>
      <c r="G30" s="18"/>
      <c r="H30" s="18"/>
      <c r="I30" s="20"/>
      <c r="J30" s="18"/>
    </row>
    <row r="31" spans="1:10" x14ac:dyDescent="0.15">
      <c r="A31" s="12">
        <f t="shared" ref="A31:A36" si="1">ROW(A31)-ROW(A$29)</f>
        <v>2</v>
      </c>
      <c r="B31" s="18"/>
      <c r="C31" s="18"/>
      <c r="D31" s="18"/>
      <c r="E31" s="18"/>
      <c r="F31" s="18"/>
      <c r="G31" s="18"/>
      <c r="H31" s="18"/>
      <c r="I31" s="20"/>
      <c r="J31" s="18"/>
    </row>
    <row r="32" spans="1:10" x14ac:dyDescent="0.15">
      <c r="A32" s="12">
        <f t="shared" si="1"/>
        <v>3</v>
      </c>
      <c r="B32" s="18"/>
      <c r="C32" s="18"/>
      <c r="D32" s="18"/>
      <c r="E32" s="18"/>
      <c r="F32" s="18"/>
      <c r="G32" s="18"/>
      <c r="H32" s="18"/>
      <c r="I32" s="20"/>
      <c r="J32" s="18"/>
    </row>
    <row r="33" spans="1:10" x14ac:dyDescent="0.15">
      <c r="A33" s="12">
        <f t="shared" si="1"/>
        <v>4</v>
      </c>
      <c r="B33" s="18"/>
      <c r="C33" s="18"/>
      <c r="D33" s="18"/>
      <c r="E33" s="18"/>
      <c r="F33" s="18"/>
      <c r="G33" s="18"/>
      <c r="H33" s="18"/>
      <c r="I33" s="20"/>
      <c r="J33" s="18"/>
    </row>
    <row r="34" spans="1:10" x14ac:dyDescent="0.15">
      <c r="A34" s="12">
        <f t="shared" si="1"/>
        <v>5</v>
      </c>
      <c r="B34" s="18"/>
      <c r="C34" s="18"/>
      <c r="D34" s="18"/>
      <c r="E34" s="18"/>
      <c r="F34" s="18"/>
      <c r="G34" s="18"/>
      <c r="H34" s="18"/>
      <c r="I34" s="20"/>
      <c r="J34" s="18"/>
    </row>
    <row r="35" spans="1:10" x14ac:dyDescent="0.15">
      <c r="A35" s="12">
        <f t="shared" si="1"/>
        <v>6</v>
      </c>
      <c r="B35" s="18"/>
      <c r="C35" s="18"/>
      <c r="D35" s="18"/>
      <c r="E35" s="18"/>
      <c r="F35" s="18"/>
      <c r="G35" s="18"/>
      <c r="H35" s="18"/>
      <c r="I35" s="20"/>
      <c r="J35" s="18"/>
    </row>
    <row r="36" spans="1:10" x14ac:dyDescent="0.15">
      <c r="A36" s="12">
        <f t="shared" si="1"/>
        <v>7</v>
      </c>
      <c r="B36" s="18"/>
      <c r="C36" s="18"/>
      <c r="D36" s="18"/>
      <c r="E36" s="18"/>
      <c r="F36" s="18"/>
      <c r="G36" s="18"/>
      <c r="H36" s="18"/>
      <c r="I36" s="20"/>
      <c r="J36" s="18"/>
    </row>
    <row r="37" spans="1:10" x14ac:dyDescent="0.15">
      <c r="A37" s="22" t="s">
        <v>6</v>
      </c>
      <c r="B37" s="22" t="s">
        <v>6</v>
      </c>
      <c r="C37" s="22" t="s">
        <v>6</v>
      </c>
      <c r="D37" s="13" t="s">
        <v>6</v>
      </c>
      <c r="E37" s="13" t="s">
        <v>6</v>
      </c>
      <c r="F37" s="13" t="s">
        <v>6</v>
      </c>
      <c r="G37" s="13" t="s">
        <v>6</v>
      </c>
      <c r="H37" s="13" t="s">
        <v>6</v>
      </c>
      <c r="I37" s="13" t="s">
        <v>6</v>
      </c>
      <c r="J37" s="13" t="s">
        <v>6</v>
      </c>
    </row>
  </sheetData>
  <mergeCells count="1">
    <mergeCell ref="A3:J5"/>
  </mergeCells>
  <phoneticPr fontId="2" type="noConversion"/>
  <dataValidations count="1">
    <dataValidation type="list" allowBlank="1" showInputMessage="1" showErrorMessage="1" sqref="I30:I36 G8:H25">
      <formula1>"Y,N"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25.875" bestFit="1" customWidth="1"/>
    <col min="3" max="3" width="18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61</v>
      </c>
      <c r="C1" s="24" t="str">
        <f>INDEX(目录!D:D,MATCH(B1,目录!E:E,0))</f>
        <v>隶属系统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60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71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/>
    </row>
    <row r="9" spans="1:10" x14ac:dyDescent="0.15">
      <c r="A9" s="12">
        <f>ROW(A8)-ROW(A$7)</f>
        <v>2</v>
      </c>
      <c r="B9" s="18" t="s">
        <v>73</v>
      </c>
      <c r="C9" s="18" t="s">
        <v>74</v>
      </c>
      <c r="D9" s="18" t="s">
        <v>75</v>
      </c>
      <c r="E9" s="19">
        <v>255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76</v>
      </c>
      <c r="C10" s="18" t="s">
        <v>77</v>
      </c>
      <c r="D10" s="18" t="s">
        <v>78</v>
      </c>
      <c r="E10" s="19">
        <v>65535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79</v>
      </c>
      <c r="C11" s="18" t="s">
        <v>80</v>
      </c>
      <c r="D11" s="18" t="s">
        <v>81</v>
      </c>
      <c r="E11" s="19">
        <v>10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82</v>
      </c>
      <c r="C12" s="18" t="s">
        <v>83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84</v>
      </c>
      <c r="C13" s="18" t="s">
        <v>85</v>
      </c>
      <c r="D13" s="18" t="s">
        <v>75</v>
      </c>
      <c r="E13" s="19">
        <v>255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 t="s">
        <v>94</v>
      </c>
      <c r="C19" s="18" t="s">
        <v>84</v>
      </c>
      <c r="D19" s="18"/>
      <c r="E19" s="18"/>
      <c r="F19" s="18"/>
      <c r="G19" s="18"/>
      <c r="H19" s="18"/>
      <c r="I19" s="20" t="s">
        <v>95</v>
      </c>
      <c r="J19" s="18" t="s">
        <v>96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25.875" bestFit="1" customWidth="1"/>
    <col min="3" max="3" width="18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97</v>
      </c>
      <c r="C1" s="24" t="str">
        <f>INDEX(目录!D:D,MATCH(B1,目录!E:E,0))</f>
        <v>隶属系统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60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71</v>
      </c>
      <c r="D8" s="18" t="s">
        <v>98</v>
      </c>
      <c r="E8" s="19">
        <v>36</v>
      </c>
      <c r="F8" s="14"/>
      <c r="G8" s="12" t="s">
        <v>15</v>
      </c>
      <c r="H8" s="12" t="s">
        <v>15</v>
      </c>
      <c r="I8" s="29"/>
      <c r="J8" s="29"/>
    </row>
    <row r="9" spans="1:10" x14ac:dyDescent="0.15">
      <c r="A9" s="12">
        <f>ROW(A8)-ROW(A$7)</f>
        <v>2</v>
      </c>
      <c r="B9" s="18" t="s">
        <v>73</v>
      </c>
      <c r="C9" s="18" t="s">
        <v>74</v>
      </c>
      <c r="D9" s="18" t="s">
        <v>75</v>
      </c>
      <c r="E9" s="19">
        <v>255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76</v>
      </c>
      <c r="C10" s="18" t="s">
        <v>77</v>
      </c>
      <c r="D10" s="18" t="s">
        <v>78</v>
      </c>
      <c r="E10" s="19">
        <v>65535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79</v>
      </c>
      <c r="C11" s="18" t="s">
        <v>80</v>
      </c>
      <c r="D11" s="18" t="s">
        <v>81</v>
      </c>
      <c r="E11" s="19">
        <v>10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82</v>
      </c>
      <c r="C12" s="18" t="s">
        <v>83</v>
      </c>
      <c r="D12" s="18" t="s">
        <v>98</v>
      </c>
      <c r="E12" s="19">
        <v>36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84</v>
      </c>
      <c r="C13" s="18" t="s">
        <v>85</v>
      </c>
      <c r="D13" s="18" t="s">
        <v>75</v>
      </c>
      <c r="E13" s="19">
        <v>255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 t="s">
        <v>94</v>
      </c>
      <c r="C19" s="18" t="s">
        <v>84</v>
      </c>
      <c r="D19" s="18"/>
      <c r="E19" s="18"/>
      <c r="F19" s="18"/>
      <c r="G19" s="18"/>
      <c r="H19" s="18"/>
      <c r="I19" s="20" t="s">
        <v>95</v>
      </c>
      <c r="J19" s="18" t="s">
        <v>96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0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100</v>
      </c>
      <c r="C1" s="24" t="str">
        <f>INDEX(目录!D:D,MATCH(B1,目录!E:E,0))</f>
        <v>全日期日历表，用于数据统计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101</v>
      </c>
      <c r="C8" s="18" t="s">
        <v>101</v>
      </c>
      <c r="D8" s="18" t="s">
        <v>102</v>
      </c>
      <c r="E8" s="19">
        <v>10</v>
      </c>
      <c r="F8" s="14"/>
      <c r="G8" s="12"/>
      <c r="H8" s="12"/>
      <c r="I8" s="29"/>
      <c r="J8" s="29"/>
    </row>
    <row r="9" spans="1:10" x14ac:dyDescent="0.15">
      <c r="A9" s="12">
        <f>ROW(A8)-ROW(A$7)</f>
        <v>2</v>
      </c>
      <c r="B9" s="18"/>
      <c r="C9" s="18"/>
      <c r="D9" s="18"/>
      <c r="E9" s="19"/>
      <c r="F9" s="14"/>
      <c r="G9" s="12"/>
      <c r="H9" s="12"/>
      <c r="I9" s="29"/>
      <c r="J9" s="29"/>
    </row>
    <row r="10" spans="1:10" x14ac:dyDescent="0.15">
      <c r="A10" s="22" t="s">
        <v>6</v>
      </c>
      <c r="B10" s="22" t="s">
        <v>6</v>
      </c>
      <c r="C10" s="22" t="s">
        <v>6</v>
      </c>
      <c r="D10" s="13" t="s">
        <v>6</v>
      </c>
      <c r="E10" s="13" t="s">
        <v>6</v>
      </c>
      <c r="F10" s="13" t="s">
        <v>6</v>
      </c>
      <c r="G10" s="13" t="s">
        <v>6</v>
      </c>
      <c r="H10" s="13" t="s">
        <v>6</v>
      </c>
      <c r="I10" s="13" t="s">
        <v>6</v>
      </c>
      <c r="J10" s="13" t="s">
        <v>6</v>
      </c>
    </row>
    <row r="13" spans="1:10" x14ac:dyDescent="0.15">
      <c r="A13" s="11" t="s">
        <v>0</v>
      </c>
      <c r="B13" s="11" t="s">
        <v>86</v>
      </c>
      <c r="C13" s="11" t="s">
        <v>87</v>
      </c>
      <c r="D13" s="11" t="s">
        <v>88</v>
      </c>
      <c r="E13" s="11" t="s">
        <v>89</v>
      </c>
      <c r="F13" s="11" t="s">
        <v>90</v>
      </c>
      <c r="G13" s="11" t="s">
        <v>91</v>
      </c>
      <c r="H13" s="11" t="s">
        <v>92</v>
      </c>
      <c r="I13" s="11" t="s">
        <v>93</v>
      </c>
      <c r="J13" s="11" t="s">
        <v>69</v>
      </c>
    </row>
    <row r="14" spans="1:10" x14ac:dyDescent="0.15">
      <c r="A14" s="12">
        <f>ROW(A17)-ROW(A$16)</f>
        <v>1</v>
      </c>
      <c r="B14" s="18"/>
      <c r="C14" s="18"/>
      <c r="D14" s="18"/>
      <c r="E14" s="18"/>
      <c r="F14" s="18"/>
      <c r="G14" s="18"/>
      <c r="H14" s="18"/>
      <c r="I14" s="20"/>
      <c r="J14" s="18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7"/>
  <sheetViews>
    <sheetView workbookViewId="0"/>
  </sheetViews>
  <sheetFormatPr defaultRowHeight="13.5" x14ac:dyDescent="0.15"/>
  <cols>
    <col min="1" max="1" width="4.875" bestFit="1" customWidth="1"/>
    <col min="2" max="2" width="29.875" bestFit="1" customWidth="1"/>
    <col min="3" max="3" width="11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103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105</v>
      </c>
      <c r="C9" s="18" t="s">
        <v>105</v>
      </c>
      <c r="D9" s="18" t="s">
        <v>106</v>
      </c>
      <c r="E9" s="19">
        <v>100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107</v>
      </c>
      <c r="C10" s="18" t="s">
        <v>107</v>
      </c>
      <c r="D10" s="18" t="s">
        <v>106</v>
      </c>
      <c r="E10" s="19">
        <v>100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108</v>
      </c>
      <c r="C11" s="18" t="s">
        <v>108</v>
      </c>
      <c r="D11" s="18" t="s">
        <v>109</v>
      </c>
      <c r="E11" s="19">
        <v>200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110</v>
      </c>
      <c r="C12" s="18" t="s">
        <v>110</v>
      </c>
      <c r="D12" s="18" t="s">
        <v>111</v>
      </c>
      <c r="E12" s="19">
        <v>5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112</v>
      </c>
      <c r="C13" s="18" t="s">
        <v>112</v>
      </c>
      <c r="D13" s="18" t="s">
        <v>111</v>
      </c>
      <c r="E13" s="19">
        <v>5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113</v>
      </c>
      <c r="C14" s="18" t="s">
        <v>113</v>
      </c>
      <c r="D14" s="18" t="s">
        <v>109</v>
      </c>
      <c r="E14" s="19">
        <v>200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114</v>
      </c>
      <c r="C15" s="18" t="s">
        <v>114</v>
      </c>
      <c r="D15" s="18" t="s">
        <v>111</v>
      </c>
      <c r="E15" s="19">
        <v>5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115</v>
      </c>
      <c r="C16" s="18" t="s">
        <v>115</v>
      </c>
      <c r="D16" s="18" t="s">
        <v>111</v>
      </c>
      <c r="E16" s="19">
        <v>5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116</v>
      </c>
      <c r="C17" s="18" t="s">
        <v>116</v>
      </c>
      <c r="D17" s="18" t="s">
        <v>106</v>
      </c>
      <c r="E17" s="19">
        <v>100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117</v>
      </c>
      <c r="C18" s="18" t="s">
        <v>117</v>
      </c>
      <c r="D18" s="18" t="s">
        <v>118</v>
      </c>
      <c r="E18" s="19">
        <v>30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119</v>
      </c>
      <c r="C19" s="18" t="s">
        <v>119</v>
      </c>
      <c r="D19" s="18" t="s">
        <v>106</v>
      </c>
      <c r="E19" s="19">
        <v>100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/>
      <c r="C20" s="18"/>
      <c r="D20" s="18"/>
      <c r="E20" s="19"/>
      <c r="F20" s="14"/>
      <c r="G20" s="12"/>
      <c r="H20" s="12"/>
      <c r="I20" s="29"/>
      <c r="J20" s="29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  <row r="24" spans="1:10" x14ac:dyDescent="0.15">
      <c r="A24" s="11" t="s">
        <v>0</v>
      </c>
      <c r="B24" s="11" t="s">
        <v>86</v>
      </c>
      <c r="C24" s="11" t="s">
        <v>87</v>
      </c>
      <c r="D24" s="11" t="s">
        <v>88</v>
      </c>
      <c r="E24" s="11" t="s">
        <v>89</v>
      </c>
      <c r="F24" s="11" t="s">
        <v>90</v>
      </c>
      <c r="G24" s="11" t="s">
        <v>91</v>
      </c>
      <c r="H24" s="11" t="s">
        <v>92</v>
      </c>
      <c r="I24" s="11" t="s">
        <v>93</v>
      </c>
      <c r="J24" s="11" t="s">
        <v>69</v>
      </c>
    </row>
    <row r="25" spans="1:10" x14ac:dyDescent="0.15">
      <c r="A25" s="12">
        <f>ROW(A17)-ROW(A$16)</f>
        <v>1</v>
      </c>
      <c r="B25" s="18" t="s">
        <v>120</v>
      </c>
      <c r="C25" s="18" t="s">
        <v>105</v>
      </c>
      <c r="D25" s="18"/>
      <c r="E25" s="18"/>
      <c r="F25" s="18"/>
      <c r="G25" s="18"/>
      <c r="H25" s="18"/>
      <c r="I25" s="20" t="s">
        <v>15</v>
      </c>
      <c r="J25" s="18" t="s">
        <v>96</v>
      </c>
    </row>
    <row r="26" spans="1:10" x14ac:dyDescent="0.15">
      <c r="A26" s="12">
        <f>ROW(A17)-ROW(A$16)</f>
        <v>1</v>
      </c>
      <c r="B26" s="18"/>
      <c r="C26" s="18"/>
      <c r="D26" s="18"/>
      <c r="E26" s="18"/>
      <c r="F26" s="18"/>
      <c r="G26" s="18"/>
      <c r="H26" s="18"/>
      <c r="I26" s="20"/>
      <c r="J26" s="18"/>
    </row>
    <row r="27" spans="1:10" x14ac:dyDescent="0.15">
      <c r="A27" s="22" t="s">
        <v>6</v>
      </c>
      <c r="B27" s="22" t="s">
        <v>6</v>
      </c>
      <c r="C27" s="22" t="s">
        <v>6</v>
      </c>
      <c r="D27" s="13" t="s">
        <v>6</v>
      </c>
      <c r="E27" s="13" t="s">
        <v>6</v>
      </c>
      <c r="F27" s="13" t="s">
        <v>6</v>
      </c>
      <c r="G27" s="13" t="s">
        <v>6</v>
      </c>
      <c r="H27" s="13" t="s">
        <v>6</v>
      </c>
      <c r="I27" s="13" t="s">
        <v>6</v>
      </c>
      <c r="J2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workbookViewId="0"/>
  </sheetViews>
  <sheetFormatPr defaultRowHeight="13.5" x14ac:dyDescent="0.15"/>
  <cols>
    <col min="1" max="1" width="4.875" bestFit="1" customWidth="1"/>
    <col min="2" max="2" width="23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121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122</v>
      </c>
      <c r="C9" s="18" t="s">
        <v>122</v>
      </c>
      <c r="D9" s="18" t="s">
        <v>109</v>
      </c>
      <c r="E9" s="19">
        <v>200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123</v>
      </c>
      <c r="C10" s="18" t="s">
        <v>123</v>
      </c>
      <c r="D10" s="18" t="s">
        <v>124</v>
      </c>
      <c r="E10" s="19">
        <v>500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/>
      <c r="C11" s="18"/>
      <c r="D11" s="18"/>
      <c r="E11" s="19"/>
      <c r="F11" s="14"/>
      <c r="G11" s="12"/>
      <c r="H11" s="12"/>
      <c r="I11" s="29"/>
      <c r="J11" s="29"/>
    </row>
    <row r="12" spans="1:10" x14ac:dyDescent="0.15">
      <c r="A12" s="22" t="s">
        <v>6</v>
      </c>
      <c r="B12" s="22" t="s">
        <v>6</v>
      </c>
      <c r="C12" s="22" t="s">
        <v>6</v>
      </c>
      <c r="D12" s="13" t="s">
        <v>6</v>
      </c>
      <c r="E12" s="13" t="s">
        <v>6</v>
      </c>
      <c r="F12" s="13" t="s">
        <v>6</v>
      </c>
      <c r="G12" s="13" t="s">
        <v>6</v>
      </c>
      <c r="H12" s="13" t="s">
        <v>6</v>
      </c>
      <c r="I12" s="13" t="s">
        <v>6</v>
      </c>
      <c r="J12" s="13" t="s">
        <v>6</v>
      </c>
    </row>
    <row r="15" spans="1:10" x14ac:dyDescent="0.15">
      <c r="A15" s="11" t="s">
        <v>0</v>
      </c>
      <c r="B15" s="11" t="s">
        <v>86</v>
      </c>
      <c r="C15" s="11" t="s">
        <v>87</v>
      </c>
      <c r="D15" s="11" t="s">
        <v>88</v>
      </c>
      <c r="E15" s="11" t="s">
        <v>89</v>
      </c>
      <c r="F15" s="11" t="s">
        <v>90</v>
      </c>
      <c r="G15" s="11" t="s">
        <v>91</v>
      </c>
      <c r="H15" s="11" t="s">
        <v>92</v>
      </c>
      <c r="I15" s="11" t="s">
        <v>93</v>
      </c>
      <c r="J15" s="11" t="s">
        <v>69</v>
      </c>
    </row>
    <row r="16" spans="1:10" x14ac:dyDescent="0.15">
      <c r="A16" s="12">
        <f>ROW(A17)-ROW(A$16)</f>
        <v>1</v>
      </c>
      <c r="B16" s="18" t="s">
        <v>125</v>
      </c>
      <c r="C16" s="18" t="s">
        <v>122</v>
      </c>
      <c r="D16" s="18"/>
      <c r="E16" s="18"/>
      <c r="F16" s="18"/>
      <c r="G16" s="18"/>
      <c r="H16" s="18"/>
      <c r="I16" s="20" t="s">
        <v>15</v>
      </c>
      <c r="J16" s="18" t="s">
        <v>96</v>
      </c>
    </row>
    <row r="17" spans="1:10" x14ac:dyDescent="0.15">
      <c r="A17" s="12">
        <f>ROW(A17)-ROW(A$16)</f>
        <v>1</v>
      </c>
      <c r="B17" s="18"/>
      <c r="C17" s="18"/>
      <c r="D17" s="18"/>
      <c r="E17" s="18"/>
      <c r="F17" s="18"/>
      <c r="G17" s="18"/>
      <c r="H17" s="18"/>
      <c r="I17" s="20"/>
      <c r="J17" s="18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/>
  </sheetViews>
  <sheetFormatPr defaultRowHeight="13.5" x14ac:dyDescent="0.15"/>
  <cols>
    <col min="1" max="1" width="4.875" bestFit="1" customWidth="1"/>
    <col min="2" max="2" width="43.875" bestFit="1" customWidth="1"/>
    <col min="3" max="3" width="10.875" bestFit="1" customWidth="1"/>
    <col min="4" max="4" width="13.875" bestFit="1" customWidth="1"/>
    <col min="5" max="8" width="8.875" bestFit="1" customWidth="1"/>
    <col min="9" max="9" width="19.875" bestFit="1" customWidth="1"/>
    <col min="10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126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127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128</v>
      </c>
      <c r="C10" s="18" t="s">
        <v>128</v>
      </c>
      <c r="D10" s="18" t="s">
        <v>129</v>
      </c>
      <c r="E10" s="19">
        <v>50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130</v>
      </c>
      <c r="C11" s="18" t="s">
        <v>130</v>
      </c>
      <c r="D11" s="18" t="s">
        <v>131</v>
      </c>
      <c r="E11" s="19">
        <v>600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132</v>
      </c>
      <c r="C12" s="18" t="s">
        <v>132</v>
      </c>
      <c r="D12" s="18" t="s">
        <v>133</v>
      </c>
      <c r="E12" s="19">
        <v>2000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134</v>
      </c>
      <c r="C13" s="18" t="s">
        <v>134</v>
      </c>
      <c r="D13" s="18" t="s">
        <v>135</v>
      </c>
      <c r="E13" s="19">
        <v>19</v>
      </c>
      <c r="F13" s="14"/>
      <c r="G13" s="12"/>
      <c r="H13" s="12" t="s">
        <v>15</v>
      </c>
      <c r="I13" s="29" t="s">
        <v>136</v>
      </c>
      <c r="J13" s="29"/>
    </row>
    <row r="14" spans="1:10" x14ac:dyDescent="0.15">
      <c r="A14" s="12">
        <f>ROW(A8)-ROW(A$7)</f>
        <v>7</v>
      </c>
      <c r="B14" s="18" t="s">
        <v>137</v>
      </c>
      <c r="C14" s="18" t="s">
        <v>137</v>
      </c>
      <c r="D14" s="18" t="s">
        <v>138</v>
      </c>
      <c r="E14" s="19">
        <v>3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139</v>
      </c>
      <c r="C15" s="18" t="s">
        <v>140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141</v>
      </c>
      <c r="C16" s="18" t="s">
        <v>140</v>
      </c>
      <c r="D16" s="18" t="s">
        <v>72</v>
      </c>
      <c r="E16" s="19">
        <v>19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/>
      <c r="C17" s="18"/>
      <c r="D17" s="18"/>
      <c r="E17" s="19"/>
      <c r="F17" s="14"/>
      <c r="G17" s="12"/>
      <c r="H17" s="12"/>
      <c r="I17" s="29"/>
      <c r="J17" s="29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  <row r="21" spans="1:10" x14ac:dyDescent="0.15">
      <c r="A21" s="11" t="s">
        <v>0</v>
      </c>
      <c r="B21" s="11" t="s">
        <v>86</v>
      </c>
      <c r="C21" s="11" t="s">
        <v>87</v>
      </c>
      <c r="D21" s="11" t="s">
        <v>88</v>
      </c>
      <c r="E21" s="11" t="s">
        <v>89</v>
      </c>
      <c r="F21" s="11" t="s">
        <v>90</v>
      </c>
      <c r="G21" s="11" t="s">
        <v>91</v>
      </c>
      <c r="H21" s="11" t="s">
        <v>92</v>
      </c>
      <c r="I21" s="11" t="s">
        <v>93</v>
      </c>
      <c r="J21" s="11" t="s">
        <v>69</v>
      </c>
    </row>
    <row r="22" spans="1:10" x14ac:dyDescent="0.15">
      <c r="A22" s="12">
        <f>ROW(A17)-ROW(A$16)</f>
        <v>1</v>
      </c>
      <c r="B22" s="18" t="s">
        <v>142</v>
      </c>
      <c r="C22" s="18" t="s">
        <v>127</v>
      </c>
      <c r="D22" s="18" t="s">
        <v>137</v>
      </c>
      <c r="E22" s="18"/>
      <c r="F22" s="18"/>
      <c r="G22" s="18"/>
      <c r="H22" s="18"/>
      <c r="I22" s="20" t="s">
        <v>95</v>
      </c>
      <c r="J22" s="18" t="s">
        <v>96</v>
      </c>
    </row>
    <row r="23" spans="1:10" x14ac:dyDescent="0.15">
      <c r="A23" s="12">
        <f>ROW(A17)-ROW(A$16)</f>
        <v>1</v>
      </c>
      <c r="B23" s="18"/>
      <c r="C23" s="18"/>
      <c r="D23" s="18"/>
      <c r="E23" s="18"/>
      <c r="F23" s="18"/>
      <c r="G23" s="18"/>
      <c r="H23" s="18"/>
      <c r="I23" s="20"/>
      <c r="J23" s="18"/>
    </row>
    <row r="24" spans="1:10" x14ac:dyDescent="0.15">
      <c r="A24" s="22" t="s">
        <v>6</v>
      </c>
      <c r="B24" s="22" t="s">
        <v>6</v>
      </c>
      <c r="C24" s="22" t="s">
        <v>6</v>
      </c>
      <c r="D24" s="13" t="s">
        <v>6</v>
      </c>
      <c r="E24" s="13" t="s">
        <v>6</v>
      </c>
      <c r="F24" s="13" t="s">
        <v>6</v>
      </c>
      <c r="G24" s="13" t="s">
        <v>6</v>
      </c>
      <c r="H24" s="13" t="s">
        <v>6</v>
      </c>
      <c r="I24" s="13" t="s">
        <v>6</v>
      </c>
      <c r="J24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42.875" bestFit="1" customWidth="1"/>
    <col min="3" max="3" width="10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143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144</v>
      </c>
      <c r="D9" s="18" t="s">
        <v>109</v>
      </c>
      <c r="E9" s="19">
        <v>200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128</v>
      </c>
      <c r="C10" s="18" t="s">
        <v>128</v>
      </c>
      <c r="D10" s="18" t="s">
        <v>129</v>
      </c>
      <c r="E10" s="19">
        <v>50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130</v>
      </c>
      <c r="C11" s="18" t="s">
        <v>130</v>
      </c>
      <c r="D11" s="18" t="s">
        <v>131</v>
      </c>
      <c r="E11" s="19">
        <v>600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145</v>
      </c>
      <c r="C12" s="18" t="s">
        <v>145</v>
      </c>
      <c r="D12" s="18" t="s">
        <v>133</v>
      </c>
      <c r="E12" s="19">
        <v>2000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146</v>
      </c>
      <c r="C13" s="18" t="s">
        <v>146</v>
      </c>
      <c r="D13" s="18" t="s">
        <v>138</v>
      </c>
      <c r="E13" s="19">
        <v>3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 t="s">
        <v>147</v>
      </c>
      <c r="C19" s="18" t="s">
        <v>144</v>
      </c>
      <c r="D19" s="18"/>
      <c r="E19" s="18"/>
      <c r="F19" s="18"/>
      <c r="G19" s="18"/>
      <c r="H19" s="18"/>
      <c r="I19" s="20" t="s">
        <v>15</v>
      </c>
      <c r="J19" s="18" t="s">
        <v>96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24.875" bestFit="1" customWidth="1"/>
    <col min="3" max="3" width="11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148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144</v>
      </c>
      <c r="D9" s="18" t="s">
        <v>124</v>
      </c>
      <c r="E9" s="19">
        <v>500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149</v>
      </c>
      <c r="C10" s="18" t="s">
        <v>149</v>
      </c>
      <c r="D10" s="18" t="s">
        <v>109</v>
      </c>
      <c r="E10" s="19">
        <v>200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150</v>
      </c>
      <c r="C11" s="18" t="s">
        <v>150</v>
      </c>
      <c r="D11" s="18" t="s">
        <v>109</v>
      </c>
      <c r="E11" s="19">
        <v>200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151</v>
      </c>
      <c r="C12" s="18" t="s">
        <v>151</v>
      </c>
      <c r="D12" s="18" t="s">
        <v>109</v>
      </c>
      <c r="E12" s="19">
        <v>200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152</v>
      </c>
      <c r="C13" s="18" t="s">
        <v>152</v>
      </c>
      <c r="D13" s="18" t="s">
        <v>109</v>
      </c>
      <c r="E13" s="19">
        <v>200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153</v>
      </c>
      <c r="C14" s="18" t="s">
        <v>153</v>
      </c>
      <c r="D14" s="18" t="s">
        <v>138</v>
      </c>
      <c r="E14" s="19">
        <v>3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119</v>
      </c>
      <c r="C15" s="18" t="s">
        <v>119</v>
      </c>
      <c r="D15" s="18" t="s">
        <v>133</v>
      </c>
      <c r="E15" s="19">
        <v>2000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4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21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155</v>
      </c>
      <c r="C1" s="24" t="str">
        <f>INDEX(目录!D:D,MATCH(B1,目录!E:E,0))</f>
        <v>广告表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154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156</v>
      </c>
      <c r="D8" s="18" t="s">
        <v>98</v>
      </c>
      <c r="E8" s="19">
        <v>36</v>
      </c>
      <c r="F8" s="14"/>
      <c r="G8" s="12" t="s">
        <v>15</v>
      </c>
      <c r="H8" s="12" t="s">
        <v>15</v>
      </c>
      <c r="I8" s="29"/>
      <c r="J8" s="29"/>
    </row>
    <row r="9" spans="1:10" x14ac:dyDescent="0.15">
      <c r="A9" s="12">
        <f>ROW(A8)-ROW(A$7)</f>
        <v>2</v>
      </c>
      <c r="B9" s="18" t="s">
        <v>157</v>
      </c>
      <c r="C9" s="18" t="s">
        <v>158</v>
      </c>
      <c r="D9" s="18" t="s">
        <v>138</v>
      </c>
      <c r="E9" s="19">
        <v>3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159</v>
      </c>
      <c r="C10" s="18" t="s">
        <v>160</v>
      </c>
      <c r="D10" s="18" t="s">
        <v>138</v>
      </c>
      <c r="E10" s="19">
        <v>3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161</v>
      </c>
      <c r="C11" s="18" t="s">
        <v>162</v>
      </c>
      <c r="D11" s="18" t="s">
        <v>163</v>
      </c>
      <c r="E11" s="19">
        <v>16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164</v>
      </c>
      <c r="C12" s="18" t="s">
        <v>165</v>
      </c>
      <c r="D12" s="18" t="s">
        <v>166</v>
      </c>
      <c r="E12" s="19">
        <v>128</v>
      </c>
      <c r="F12" s="14"/>
      <c r="G12" s="12"/>
      <c r="H12" s="12" t="s">
        <v>15</v>
      </c>
      <c r="I12" s="29"/>
      <c r="J12" s="29"/>
    </row>
    <row r="13" spans="1:10" x14ac:dyDescent="0.15">
      <c r="A13" s="12">
        <f>ROW(A8)-ROW(A$7)</f>
        <v>6</v>
      </c>
      <c r="B13" s="18" t="s">
        <v>167</v>
      </c>
      <c r="C13" s="18" t="s">
        <v>168</v>
      </c>
      <c r="D13" s="18" t="s">
        <v>81</v>
      </c>
      <c r="E13" s="19">
        <v>10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169</v>
      </c>
      <c r="C14" s="18" t="s">
        <v>170</v>
      </c>
      <c r="D14" s="18" t="s">
        <v>81</v>
      </c>
      <c r="E14" s="19">
        <v>10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171</v>
      </c>
      <c r="C15" s="18" t="s">
        <v>172</v>
      </c>
      <c r="D15" s="18" t="s">
        <v>138</v>
      </c>
      <c r="E15" s="19">
        <v>3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173</v>
      </c>
      <c r="C16" s="18" t="s">
        <v>174</v>
      </c>
      <c r="D16" s="18" t="s">
        <v>163</v>
      </c>
      <c r="E16" s="19">
        <v>16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175</v>
      </c>
      <c r="C17" s="18" t="s">
        <v>176</v>
      </c>
      <c r="D17" s="18" t="s">
        <v>166</v>
      </c>
      <c r="E17" s="19">
        <v>128</v>
      </c>
      <c r="F17" s="14"/>
      <c r="G17" s="12"/>
      <c r="H17" s="12" t="s">
        <v>15</v>
      </c>
      <c r="I17" s="29"/>
      <c r="J17" s="29"/>
    </row>
    <row r="18" spans="1:10" x14ac:dyDescent="0.15">
      <c r="A18" s="12">
        <f>ROW(A8)-ROW(A$7)</f>
        <v>11</v>
      </c>
      <c r="B18" s="18" t="s">
        <v>177</v>
      </c>
      <c r="C18" s="18" t="s">
        <v>178</v>
      </c>
      <c r="D18" s="18" t="s">
        <v>179</v>
      </c>
      <c r="E18" s="19">
        <v>64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180</v>
      </c>
      <c r="C19" s="18" t="s">
        <v>181</v>
      </c>
      <c r="D19" s="18" t="s">
        <v>179</v>
      </c>
      <c r="E19" s="19">
        <v>64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182</v>
      </c>
      <c r="C20" s="18" t="s">
        <v>183</v>
      </c>
      <c r="D20" s="18" t="s">
        <v>72</v>
      </c>
      <c r="E20" s="19">
        <v>19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184</v>
      </c>
      <c r="C21" s="18" t="s">
        <v>185</v>
      </c>
      <c r="D21" s="18" t="s">
        <v>72</v>
      </c>
      <c r="E21" s="19">
        <v>19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186</v>
      </c>
      <c r="C22" s="18" t="s">
        <v>187</v>
      </c>
      <c r="D22" s="18" t="s">
        <v>81</v>
      </c>
      <c r="E22" s="19">
        <v>10</v>
      </c>
      <c r="F22" s="14"/>
      <c r="G22" s="12"/>
      <c r="H22" s="12"/>
      <c r="I22" s="29" t="s">
        <v>188</v>
      </c>
      <c r="J22" s="29"/>
    </row>
    <row r="23" spans="1:10" x14ac:dyDescent="0.15">
      <c r="A23" s="12">
        <f>ROW(A8)-ROW(A$7)</f>
        <v>16</v>
      </c>
      <c r="B23" s="18" t="s">
        <v>189</v>
      </c>
      <c r="C23" s="18" t="s">
        <v>190</v>
      </c>
      <c r="D23" s="18" t="s">
        <v>81</v>
      </c>
      <c r="E23" s="19">
        <v>10</v>
      </c>
      <c r="F23" s="14"/>
      <c r="G23" s="12"/>
      <c r="H23" s="12"/>
      <c r="I23" s="29" t="s">
        <v>188</v>
      </c>
      <c r="J23" s="29"/>
    </row>
    <row r="24" spans="1:10" x14ac:dyDescent="0.15">
      <c r="A24" s="12">
        <f>ROW(A8)-ROW(A$7)</f>
        <v>17</v>
      </c>
      <c r="B24" s="18" t="s">
        <v>191</v>
      </c>
      <c r="C24" s="18" t="s">
        <v>192</v>
      </c>
      <c r="D24" s="18" t="s">
        <v>138</v>
      </c>
      <c r="E24" s="19">
        <v>3</v>
      </c>
      <c r="F24" s="14"/>
      <c r="G24" s="12"/>
      <c r="H24" s="12"/>
      <c r="I24" s="29" t="s">
        <v>188</v>
      </c>
      <c r="J24" s="29"/>
    </row>
    <row r="25" spans="1:10" x14ac:dyDescent="0.15">
      <c r="A25" s="12">
        <f>ROW(A8)-ROW(A$7)</f>
        <v>18</v>
      </c>
      <c r="B25" s="18" t="s">
        <v>193</v>
      </c>
      <c r="C25" s="18" t="s">
        <v>194</v>
      </c>
      <c r="D25" s="18" t="s">
        <v>72</v>
      </c>
      <c r="E25" s="19">
        <v>19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 t="s">
        <v>195</v>
      </c>
      <c r="C26" s="18" t="s">
        <v>196</v>
      </c>
      <c r="D26" s="18" t="s">
        <v>98</v>
      </c>
      <c r="E26" s="19">
        <v>36</v>
      </c>
      <c r="F26" s="14"/>
      <c r="G26" s="12"/>
      <c r="H26" s="12"/>
      <c r="I26" s="29"/>
      <c r="J26" s="29"/>
    </row>
    <row r="27" spans="1:10" x14ac:dyDescent="0.15">
      <c r="A27" s="12">
        <f>ROW(A8)-ROW(A$7)</f>
        <v>20</v>
      </c>
      <c r="B27" s="18" t="s">
        <v>197</v>
      </c>
      <c r="C27" s="18" t="s">
        <v>198</v>
      </c>
      <c r="D27" s="18" t="s">
        <v>163</v>
      </c>
      <c r="E27" s="19">
        <v>16</v>
      </c>
      <c r="F27" s="14"/>
      <c r="G27" s="12"/>
      <c r="H27" s="12"/>
      <c r="I27" s="29"/>
      <c r="J27" s="29"/>
    </row>
    <row r="28" spans="1:10" x14ac:dyDescent="0.15">
      <c r="A28" s="12">
        <f>ROW(A8)-ROW(A$7)</f>
        <v>21</v>
      </c>
      <c r="B28" s="18"/>
      <c r="C28" s="18"/>
      <c r="D28" s="18"/>
      <c r="E28" s="19"/>
      <c r="F28" s="14"/>
      <c r="G28" s="12"/>
      <c r="H28" s="12"/>
      <c r="I28" s="29"/>
      <c r="J28" s="29"/>
    </row>
    <row r="29" spans="1:10" x14ac:dyDescent="0.15">
      <c r="A29" s="22" t="s">
        <v>6</v>
      </c>
      <c r="B29" s="22" t="s">
        <v>6</v>
      </c>
      <c r="C29" s="22" t="s">
        <v>6</v>
      </c>
      <c r="D29" s="13" t="s">
        <v>6</v>
      </c>
      <c r="E29" s="13" t="s">
        <v>6</v>
      </c>
      <c r="F29" s="13" t="s">
        <v>6</v>
      </c>
      <c r="G29" s="13" t="s">
        <v>6</v>
      </c>
      <c r="H29" s="13" t="s">
        <v>6</v>
      </c>
      <c r="I29" s="13" t="s">
        <v>6</v>
      </c>
      <c r="J29" s="13" t="s">
        <v>6</v>
      </c>
    </row>
    <row r="32" spans="1:10" x14ac:dyDescent="0.15">
      <c r="A32" s="11" t="s">
        <v>0</v>
      </c>
      <c r="B32" s="11" t="s">
        <v>86</v>
      </c>
      <c r="C32" s="11" t="s">
        <v>87</v>
      </c>
      <c r="D32" s="11" t="s">
        <v>88</v>
      </c>
      <c r="E32" s="11" t="s">
        <v>89</v>
      </c>
      <c r="F32" s="11" t="s">
        <v>90</v>
      </c>
      <c r="G32" s="11" t="s">
        <v>91</v>
      </c>
      <c r="H32" s="11" t="s">
        <v>92</v>
      </c>
      <c r="I32" s="11" t="s">
        <v>93</v>
      </c>
      <c r="J32" s="11" t="s">
        <v>69</v>
      </c>
    </row>
    <row r="33" spans="1:10" x14ac:dyDescent="0.15">
      <c r="A33" s="12">
        <f>ROW(A17)-ROW(A$16)</f>
        <v>1</v>
      </c>
      <c r="B33" s="18"/>
      <c r="C33" s="18"/>
      <c r="D33" s="18"/>
      <c r="E33" s="18"/>
      <c r="F33" s="18"/>
      <c r="G33" s="18"/>
      <c r="H33" s="18"/>
      <c r="I33" s="20"/>
      <c r="J33" s="18"/>
    </row>
    <row r="34" spans="1:10" x14ac:dyDescent="0.15">
      <c r="A34" s="22" t="s">
        <v>6</v>
      </c>
      <c r="B34" s="22" t="s">
        <v>6</v>
      </c>
      <c r="C34" s="22" t="s">
        <v>6</v>
      </c>
      <c r="D34" s="13" t="s">
        <v>6</v>
      </c>
      <c r="E34" s="13" t="s">
        <v>6</v>
      </c>
      <c r="F34" s="13" t="s">
        <v>6</v>
      </c>
      <c r="G34" s="13" t="s">
        <v>6</v>
      </c>
      <c r="H34" s="13" t="s">
        <v>6</v>
      </c>
      <c r="I34" s="13" t="s">
        <v>6</v>
      </c>
      <c r="J34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8"/>
  <sheetViews>
    <sheetView workbookViewId="0"/>
  </sheetViews>
  <sheetFormatPr defaultRowHeight="13.5" x14ac:dyDescent="0.15"/>
  <cols>
    <col min="1" max="1" width="4.875" bestFit="1" customWidth="1"/>
    <col min="2" max="2" width="14.875" bestFit="1" customWidth="1"/>
    <col min="3" max="3" width="35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200</v>
      </c>
      <c r="C1" s="24" t="str">
        <f>INDEX(目录!D:D,MATCH(B1,目录!E:E,0))</f>
        <v>新闻栏目表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199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201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202</v>
      </c>
      <c r="C9" s="18" t="s">
        <v>203</v>
      </c>
      <c r="D9" s="18" t="s">
        <v>138</v>
      </c>
      <c r="E9" s="19">
        <v>3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204</v>
      </c>
      <c r="C10" s="18" t="s">
        <v>205</v>
      </c>
      <c r="D10" s="18" t="s">
        <v>206</v>
      </c>
      <c r="E10" s="19">
        <v>32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82</v>
      </c>
      <c r="C11" s="18" t="s">
        <v>207</v>
      </c>
      <c r="D11" s="18" t="s">
        <v>98</v>
      </c>
      <c r="E11" s="19">
        <v>36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208</v>
      </c>
      <c r="C12" s="18" t="s">
        <v>209</v>
      </c>
      <c r="D12" s="18" t="s">
        <v>98</v>
      </c>
      <c r="E12" s="19">
        <v>36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210</v>
      </c>
      <c r="C13" s="18" t="s">
        <v>211</v>
      </c>
      <c r="D13" s="18" t="s">
        <v>98</v>
      </c>
      <c r="E13" s="19">
        <v>36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212</v>
      </c>
      <c r="C14" s="18" t="s">
        <v>213</v>
      </c>
      <c r="D14" s="18" t="s">
        <v>163</v>
      </c>
      <c r="E14" s="19">
        <v>16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214</v>
      </c>
      <c r="C15" s="18" t="s">
        <v>215</v>
      </c>
      <c r="D15" s="18" t="s">
        <v>179</v>
      </c>
      <c r="E15" s="19">
        <v>64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216</v>
      </c>
      <c r="C16" s="18" t="s">
        <v>217</v>
      </c>
      <c r="D16" s="18" t="s">
        <v>218</v>
      </c>
      <c r="E16" s="19">
        <v>512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175</v>
      </c>
      <c r="C17" s="18" t="s">
        <v>219</v>
      </c>
      <c r="D17" s="18" t="s">
        <v>166</v>
      </c>
      <c r="E17" s="19">
        <v>128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220</v>
      </c>
      <c r="C18" s="18" t="s">
        <v>221</v>
      </c>
      <c r="D18" s="18" t="s">
        <v>138</v>
      </c>
      <c r="E18" s="19">
        <v>3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222</v>
      </c>
      <c r="C19" s="18" t="s">
        <v>223</v>
      </c>
      <c r="D19" s="18" t="s">
        <v>138</v>
      </c>
      <c r="E19" s="19">
        <v>3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224</v>
      </c>
      <c r="C20" s="18" t="s">
        <v>225</v>
      </c>
      <c r="D20" s="18" t="s">
        <v>138</v>
      </c>
      <c r="E20" s="19">
        <v>3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84</v>
      </c>
      <c r="C21" s="18" t="s">
        <v>226</v>
      </c>
      <c r="D21" s="18" t="s">
        <v>166</v>
      </c>
      <c r="E21" s="19">
        <v>128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/>
      <c r="C22" s="18"/>
      <c r="D22" s="18"/>
      <c r="E22" s="19"/>
      <c r="F22" s="14"/>
      <c r="G22" s="12"/>
      <c r="H22" s="12"/>
      <c r="I22" s="29"/>
      <c r="J22" s="29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  <row r="26" spans="1:10" x14ac:dyDescent="0.15">
      <c r="A26" s="11" t="s">
        <v>0</v>
      </c>
      <c r="B26" s="11" t="s">
        <v>86</v>
      </c>
      <c r="C26" s="11" t="s">
        <v>87</v>
      </c>
      <c r="D26" s="11" t="s">
        <v>88</v>
      </c>
      <c r="E26" s="11" t="s">
        <v>89</v>
      </c>
      <c r="F26" s="11" t="s">
        <v>90</v>
      </c>
      <c r="G26" s="11" t="s">
        <v>91</v>
      </c>
      <c r="H26" s="11" t="s">
        <v>92</v>
      </c>
      <c r="I26" s="11" t="s">
        <v>93</v>
      </c>
      <c r="J26" s="11" t="s">
        <v>69</v>
      </c>
    </row>
    <row r="27" spans="1:10" x14ac:dyDescent="0.15">
      <c r="A27" s="12">
        <f>ROW(A17)-ROW(A$16)</f>
        <v>1</v>
      </c>
      <c r="B27" s="18"/>
      <c r="C27" s="18"/>
      <c r="D27" s="18"/>
      <c r="E27" s="18"/>
      <c r="F27" s="18"/>
      <c r="G27" s="18"/>
      <c r="H27" s="18"/>
      <c r="I27" s="20"/>
      <c r="J27" s="18"/>
    </row>
    <row r="28" spans="1:10" x14ac:dyDescent="0.15">
      <c r="A28" s="22" t="s">
        <v>6</v>
      </c>
      <c r="B28" s="22" t="s">
        <v>6</v>
      </c>
      <c r="C28" s="22" t="s">
        <v>6</v>
      </c>
      <c r="D28" s="13" t="s">
        <v>6</v>
      </c>
      <c r="E28" s="13" t="s">
        <v>6</v>
      </c>
      <c r="F28" s="13" t="s">
        <v>6</v>
      </c>
      <c r="G28" s="13" t="s">
        <v>6</v>
      </c>
      <c r="H28" s="13" t="s">
        <v>6</v>
      </c>
      <c r="I28" s="13" t="s">
        <v>6</v>
      </c>
      <c r="J2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8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0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228</v>
      </c>
      <c r="C1" s="24" t="str">
        <f>INDEX(目录!D:D,MATCH(B1,目录!E:E,0))</f>
        <v>评论表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227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229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230</v>
      </c>
      <c r="C9" s="18" t="s">
        <v>231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232</v>
      </c>
      <c r="C10" s="18" t="s">
        <v>233</v>
      </c>
      <c r="D10" s="18" t="s">
        <v>166</v>
      </c>
      <c r="E10" s="19">
        <v>128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 t="s">
        <v>234</v>
      </c>
      <c r="C11" s="18" t="s">
        <v>235</v>
      </c>
      <c r="D11" s="18" t="s">
        <v>133</v>
      </c>
      <c r="E11" s="19">
        <v>2000</v>
      </c>
      <c r="F11" s="14"/>
      <c r="G11" s="12"/>
      <c r="H11" s="12" t="s">
        <v>15</v>
      </c>
      <c r="I11" s="29"/>
      <c r="J11" s="29"/>
    </row>
    <row r="12" spans="1:10" x14ac:dyDescent="0.15">
      <c r="A12" s="12">
        <f>ROW(A8)-ROW(A$7)</f>
        <v>5</v>
      </c>
      <c r="B12" s="18" t="s">
        <v>127</v>
      </c>
      <c r="C12" s="18" t="s">
        <v>236</v>
      </c>
      <c r="D12" s="18" t="s">
        <v>98</v>
      </c>
      <c r="E12" s="19">
        <v>36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237</v>
      </c>
      <c r="C13" s="18" t="s">
        <v>238</v>
      </c>
      <c r="D13" s="18" t="s">
        <v>206</v>
      </c>
      <c r="E13" s="19">
        <v>32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239</v>
      </c>
      <c r="C14" s="18" t="s">
        <v>240</v>
      </c>
      <c r="D14" s="18" t="s">
        <v>179</v>
      </c>
      <c r="E14" s="19">
        <v>64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241</v>
      </c>
      <c r="C15" s="18" t="s">
        <v>242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243</v>
      </c>
      <c r="C16" s="18" t="s">
        <v>244</v>
      </c>
      <c r="D16" s="18" t="s">
        <v>163</v>
      </c>
      <c r="E16" s="19">
        <v>16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224</v>
      </c>
      <c r="C17" s="18" t="s">
        <v>245</v>
      </c>
      <c r="D17" s="18" t="s">
        <v>138</v>
      </c>
      <c r="E17" s="19">
        <v>3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246</v>
      </c>
      <c r="C18" s="18" t="s">
        <v>247</v>
      </c>
      <c r="D18" s="18" t="s">
        <v>138</v>
      </c>
      <c r="E18" s="19">
        <v>3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197</v>
      </c>
      <c r="C19" s="18" t="s">
        <v>198</v>
      </c>
      <c r="D19" s="18" t="s">
        <v>163</v>
      </c>
      <c r="E19" s="19">
        <v>16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195</v>
      </c>
      <c r="C20" s="18" t="s">
        <v>196</v>
      </c>
      <c r="D20" s="18" t="s">
        <v>98</v>
      </c>
      <c r="E20" s="19">
        <v>36</v>
      </c>
      <c r="F20" s="14"/>
      <c r="G20" s="12"/>
      <c r="H20" s="12" t="s">
        <v>15</v>
      </c>
      <c r="I20" s="29"/>
      <c r="J20" s="29"/>
    </row>
    <row r="21" spans="1:10" x14ac:dyDescent="0.15">
      <c r="A21" s="12">
        <f>ROW(A8)-ROW(A$7)</f>
        <v>14</v>
      </c>
      <c r="B21" s="18" t="s">
        <v>248</v>
      </c>
      <c r="C21" s="18" t="s">
        <v>249</v>
      </c>
      <c r="D21" s="18" t="s">
        <v>250</v>
      </c>
      <c r="E21" s="19">
        <v>256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/>
      <c r="C22" s="18"/>
      <c r="D22" s="18"/>
      <c r="E22" s="19"/>
      <c r="F22" s="14"/>
      <c r="G22" s="12"/>
      <c r="H22" s="12"/>
      <c r="I22" s="29"/>
      <c r="J22" s="29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  <row r="26" spans="1:10" x14ac:dyDescent="0.15">
      <c r="A26" s="11" t="s">
        <v>0</v>
      </c>
      <c r="B26" s="11" t="s">
        <v>86</v>
      </c>
      <c r="C26" s="11" t="s">
        <v>87</v>
      </c>
      <c r="D26" s="11" t="s">
        <v>88</v>
      </c>
      <c r="E26" s="11" t="s">
        <v>89</v>
      </c>
      <c r="F26" s="11" t="s">
        <v>90</v>
      </c>
      <c r="G26" s="11" t="s">
        <v>91</v>
      </c>
      <c r="H26" s="11" t="s">
        <v>92</v>
      </c>
      <c r="I26" s="11" t="s">
        <v>93</v>
      </c>
      <c r="J26" s="11" t="s">
        <v>69</v>
      </c>
    </row>
    <row r="27" spans="1:10" x14ac:dyDescent="0.15">
      <c r="A27" s="12">
        <f>ROW(A17)-ROW(A$16)</f>
        <v>1</v>
      </c>
      <c r="B27" s="18"/>
      <c r="C27" s="18"/>
      <c r="D27" s="18"/>
      <c r="E27" s="18"/>
      <c r="F27" s="18"/>
      <c r="G27" s="18"/>
      <c r="H27" s="18"/>
      <c r="I27" s="20"/>
      <c r="J27" s="18"/>
    </row>
    <row r="28" spans="1:10" x14ac:dyDescent="0.15">
      <c r="A28" s="22" t="s">
        <v>6</v>
      </c>
      <c r="B28" s="22" t="s">
        <v>6</v>
      </c>
      <c r="C28" s="22" t="s">
        <v>6</v>
      </c>
      <c r="D28" s="13" t="s">
        <v>6</v>
      </c>
      <c r="E28" s="13" t="s">
        <v>6</v>
      </c>
      <c r="F28" s="13" t="s">
        <v>6</v>
      </c>
      <c r="G28" s="13" t="s">
        <v>6</v>
      </c>
      <c r="H28" s="13" t="s">
        <v>6</v>
      </c>
      <c r="I28" s="13" t="s">
        <v>6</v>
      </c>
      <c r="J2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251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252</v>
      </c>
      <c r="D8" s="18" t="s">
        <v>98</v>
      </c>
      <c r="E8" s="19">
        <v>36</v>
      </c>
      <c r="F8" s="14"/>
      <c r="G8" s="12" t="s">
        <v>15</v>
      </c>
      <c r="H8" s="12" t="s">
        <v>15</v>
      </c>
      <c r="I8" s="29"/>
      <c r="J8" s="29"/>
    </row>
    <row r="9" spans="1:10" x14ac:dyDescent="0.15">
      <c r="A9" s="12">
        <f>ROW(A8)-ROW(A$7)</f>
        <v>2</v>
      </c>
      <c r="B9" s="18" t="s">
        <v>253</v>
      </c>
      <c r="C9" s="18" t="s">
        <v>254</v>
      </c>
      <c r="D9" s="18" t="s">
        <v>179</v>
      </c>
      <c r="E9" s="19">
        <v>64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255</v>
      </c>
      <c r="C10" s="18" t="s">
        <v>256</v>
      </c>
      <c r="D10" s="18" t="s">
        <v>250</v>
      </c>
      <c r="E10" s="19">
        <v>256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257</v>
      </c>
      <c r="C11" s="18" t="s">
        <v>258</v>
      </c>
      <c r="D11" s="18" t="s">
        <v>138</v>
      </c>
      <c r="E11" s="19">
        <v>3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84</v>
      </c>
      <c r="C12" s="18" t="s">
        <v>226</v>
      </c>
      <c r="D12" s="18" t="s">
        <v>259</v>
      </c>
      <c r="E12" s="19">
        <v>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241</v>
      </c>
      <c r="C13" s="18" t="s">
        <v>260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8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8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262</v>
      </c>
      <c r="C1" s="24" t="str">
        <f>INDEX(目录!D:D,MATCH(B1,目录!E:E,0))</f>
        <v>新闻表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261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263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157</v>
      </c>
      <c r="C9" s="18" t="s">
        <v>201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264</v>
      </c>
      <c r="C10" s="18" t="s">
        <v>265</v>
      </c>
      <c r="D10" s="18" t="s">
        <v>166</v>
      </c>
      <c r="E10" s="19">
        <v>128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210</v>
      </c>
      <c r="C11" s="18" t="s">
        <v>211</v>
      </c>
      <c r="D11" s="18" t="s">
        <v>98</v>
      </c>
      <c r="E11" s="19">
        <v>36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266</v>
      </c>
      <c r="C12" s="18" t="s">
        <v>267</v>
      </c>
      <c r="D12" s="18" t="s">
        <v>138</v>
      </c>
      <c r="E12" s="19">
        <v>3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268</v>
      </c>
      <c r="C13" s="18" t="s">
        <v>269</v>
      </c>
      <c r="D13" s="18" t="s">
        <v>138</v>
      </c>
      <c r="E13" s="19">
        <v>3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270</v>
      </c>
      <c r="C14" s="18" t="s">
        <v>271</v>
      </c>
      <c r="D14" s="18" t="s">
        <v>138</v>
      </c>
      <c r="E14" s="19">
        <v>3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272</v>
      </c>
      <c r="C15" s="18" t="s">
        <v>273</v>
      </c>
      <c r="D15" s="18" t="s">
        <v>206</v>
      </c>
      <c r="E15" s="19">
        <v>32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232</v>
      </c>
      <c r="C16" s="18" t="s">
        <v>274</v>
      </c>
      <c r="D16" s="18" t="s">
        <v>250</v>
      </c>
      <c r="E16" s="19">
        <v>256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275</v>
      </c>
      <c r="C17" s="18" t="s">
        <v>276</v>
      </c>
      <c r="D17" s="18" t="s">
        <v>218</v>
      </c>
      <c r="E17" s="19">
        <v>512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234</v>
      </c>
      <c r="C18" s="18" t="s">
        <v>277</v>
      </c>
      <c r="D18" s="18" t="s">
        <v>78</v>
      </c>
      <c r="E18" s="19">
        <v>65535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278</v>
      </c>
      <c r="C19" s="18" t="s">
        <v>279</v>
      </c>
      <c r="D19" s="18" t="s">
        <v>218</v>
      </c>
      <c r="E19" s="19">
        <v>512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280</v>
      </c>
      <c r="C20" s="18" t="s">
        <v>281</v>
      </c>
      <c r="D20" s="18" t="s">
        <v>218</v>
      </c>
      <c r="E20" s="19">
        <v>512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282</v>
      </c>
      <c r="C21" s="18" t="s">
        <v>283</v>
      </c>
      <c r="D21" s="18" t="s">
        <v>179</v>
      </c>
      <c r="E21" s="19">
        <v>64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284</v>
      </c>
      <c r="C22" s="18" t="s">
        <v>285</v>
      </c>
      <c r="D22" s="18" t="s">
        <v>179</v>
      </c>
      <c r="E22" s="19">
        <v>64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241</v>
      </c>
      <c r="C23" s="18" t="s">
        <v>242</v>
      </c>
      <c r="D23" s="18" t="s">
        <v>72</v>
      </c>
      <c r="E23" s="19">
        <v>19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127</v>
      </c>
      <c r="C24" s="18" t="s">
        <v>236</v>
      </c>
      <c r="D24" s="18" t="s">
        <v>98</v>
      </c>
      <c r="E24" s="19">
        <v>36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189</v>
      </c>
      <c r="C25" s="18" t="s">
        <v>190</v>
      </c>
      <c r="D25" s="18" t="s">
        <v>81</v>
      </c>
      <c r="E25" s="19">
        <v>10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 t="s">
        <v>286</v>
      </c>
      <c r="C26" s="18" t="s">
        <v>287</v>
      </c>
      <c r="D26" s="18" t="s">
        <v>81</v>
      </c>
      <c r="E26" s="19">
        <v>10</v>
      </c>
      <c r="F26" s="14"/>
      <c r="G26" s="12"/>
      <c r="H26" s="12"/>
      <c r="I26" s="29" t="s">
        <v>188</v>
      </c>
      <c r="J26" s="29"/>
    </row>
    <row r="27" spans="1:10" x14ac:dyDescent="0.15">
      <c r="A27" s="12">
        <f>ROW(A8)-ROW(A$7)</f>
        <v>20</v>
      </c>
      <c r="B27" s="18" t="s">
        <v>288</v>
      </c>
      <c r="C27" s="18" t="s">
        <v>289</v>
      </c>
      <c r="D27" s="18" t="s">
        <v>138</v>
      </c>
      <c r="E27" s="19">
        <v>3</v>
      </c>
      <c r="F27" s="14"/>
      <c r="G27" s="12"/>
      <c r="H27" s="12"/>
      <c r="I27" s="29"/>
      <c r="J27" s="29"/>
    </row>
    <row r="28" spans="1:10" x14ac:dyDescent="0.15">
      <c r="A28" s="12">
        <f>ROW(A8)-ROW(A$7)</f>
        <v>21</v>
      </c>
      <c r="B28" s="18" t="s">
        <v>257</v>
      </c>
      <c r="C28" s="18" t="s">
        <v>290</v>
      </c>
      <c r="D28" s="18" t="s">
        <v>138</v>
      </c>
      <c r="E28" s="19">
        <v>3</v>
      </c>
      <c r="F28" s="14"/>
      <c r="G28" s="12"/>
      <c r="H28" s="12"/>
      <c r="I28" s="29"/>
      <c r="J28" s="29"/>
    </row>
    <row r="29" spans="1:10" x14ac:dyDescent="0.15">
      <c r="A29" s="12">
        <f>ROW(A8)-ROW(A$7)</f>
        <v>22</v>
      </c>
      <c r="B29" s="18" t="s">
        <v>291</v>
      </c>
      <c r="C29" s="18" t="s">
        <v>292</v>
      </c>
      <c r="D29" s="18" t="s">
        <v>138</v>
      </c>
      <c r="E29" s="19">
        <v>3</v>
      </c>
      <c r="F29" s="14"/>
      <c r="G29" s="12"/>
      <c r="H29" s="12"/>
      <c r="I29" s="29"/>
      <c r="J29" s="29"/>
    </row>
    <row r="30" spans="1:10" x14ac:dyDescent="0.15">
      <c r="A30" s="12">
        <f>ROW(A8)-ROW(A$7)</f>
        <v>23</v>
      </c>
      <c r="B30" s="18" t="s">
        <v>293</v>
      </c>
      <c r="C30" s="18" t="s">
        <v>294</v>
      </c>
      <c r="D30" s="18" t="s">
        <v>138</v>
      </c>
      <c r="E30" s="19">
        <v>3</v>
      </c>
      <c r="F30" s="14"/>
      <c r="G30" s="12"/>
      <c r="H30" s="12"/>
      <c r="I30" s="29" t="s">
        <v>188</v>
      </c>
      <c r="J30" s="29"/>
    </row>
    <row r="31" spans="1:10" x14ac:dyDescent="0.15">
      <c r="A31" s="12">
        <f>ROW(A8)-ROW(A$7)</f>
        <v>24</v>
      </c>
      <c r="B31" s="18" t="s">
        <v>295</v>
      </c>
      <c r="C31" s="18" t="s">
        <v>296</v>
      </c>
      <c r="D31" s="18" t="s">
        <v>138</v>
      </c>
      <c r="E31" s="19">
        <v>3</v>
      </c>
      <c r="F31" s="14"/>
      <c r="G31" s="12"/>
      <c r="H31" s="12"/>
      <c r="I31" s="29"/>
      <c r="J31" s="29"/>
    </row>
    <row r="32" spans="1:10" x14ac:dyDescent="0.15">
      <c r="A32" s="12">
        <f>ROW(A8)-ROW(A$7)</f>
        <v>25</v>
      </c>
      <c r="B32" s="18"/>
      <c r="C32" s="18"/>
      <c r="D32" s="18"/>
      <c r="E32" s="19"/>
      <c r="F32" s="14"/>
      <c r="G32" s="12"/>
      <c r="H32" s="12"/>
      <c r="I32" s="29"/>
      <c r="J32" s="29"/>
    </row>
    <row r="33" spans="1:10" x14ac:dyDescent="0.15">
      <c r="A33" s="22" t="s">
        <v>6</v>
      </c>
      <c r="B33" s="22" t="s">
        <v>6</v>
      </c>
      <c r="C33" s="22" t="s">
        <v>6</v>
      </c>
      <c r="D33" s="13" t="s">
        <v>6</v>
      </c>
      <c r="E33" s="13" t="s">
        <v>6</v>
      </c>
      <c r="F33" s="13" t="s">
        <v>6</v>
      </c>
      <c r="G33" s="13" t="s">
        <v>6</v>
      </c>
      <c r="H33" s="13" t="s">
        <v>6</v>
      </c>
      <c r="I33" s="13" t="s">
        <v>6</v>
      </c>
      <c r="J33" s="13" t="s">
        <v>6</v>
      </c>
    </row>
    <row r="36" spans="1:10" x14ac:dyDescent="0.15">
      <c r="A36" s="11" t="s">
        <v>0</v>
      </c>
      <c r="B36" s="11" t="s">
        <v>86</v>
      </c>
      <c r="C36" s="11" t="s">
        <v>87</v>
      </c>
      <c r="D36" s="11" t="s">
        <v>88</v>
      </c>
      <c r="E36" s="11" t="s">
        <v>89</v>
      </c>
      <c r="F36" s="11" t="s">
        <v>90</v>
      </c>
      <c r="G36" s="11" t="s">
        <v>91</v>
      </c>
      <c r="H36" s="11" t="s">
        <v>92</v>
      </c>
      <c r="I36" s="11" t="s">
        <v>93</v>
      </c>
      <c r="J36" s="11" t="s">
        <v>69</v>
      </c>
    </row>
    <row r="37" spans="1:10" x14ac:dyDescent="0.15">
      <c r="A37" s="12">
        <f>ROW(A17)-ROW(A$16)</f>
        <v>1</v>
      </c>
      <c r="B37" s="18"/>
      <c r="C37" s="18"/>
      <c r="D37" s="18"/>
      <c r="E37" s="18"/>
      <c r="F37" s="18"/>
      <c r="G37" s="18"/>
      <c r="H37" s="18"/>
      <c r="I37" s="20"/>
      <c r="J37" s="18"/>
    </row>
    <row r="38" spans="1:10" x14ac:dyDescent="0.15">
      <c r="A38" s="22" t="s">
        <v>6</v>
      </c>
      <c r="B38" s="22" t="s">
        <v>6</v>
      </c>
      <c r="C38" s="22" t="s">
        <v>6</v>
      </c>
      <c r="D38" s="13" t="s">
        <v>6</v>
      </c>
      <c r="E38" s="13" t="s">
        <v>6</v>
      </c>
      <c r="F38" s="13" t="s">
        <v>6</v>
      </c>
      <c r="G38" s="13" t="s">
        <v>6</v>
      </c>
      <c r="H38" s="13" t="s">
        <v>6</v>
      </c>
      <c r="I38" s="13" t="s">
        <v>6</v>
      </c>
      <c r="J3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6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298</v>
      </c>
      <c r="C1" s="24" t="str">
        <f>INDEX(目录!D:D,MATCH(B1,目录!E:E,0))</f>
        <v>友情链接表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297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299</v>
      </c>
      <c r="D8" s="18" t="s">
        <v>98</v>
      </c>
      <c r="E8" s="19">
        <v>36</v>
      </c>
      <c r="F8" s="14"/>
      <c r="G8" s="12" t="s">
        <v>15</v>
      </c>
      <c r="H8" s="12" t="s">
        <v>15</v>
      </c>
      <c r="I8" s="29"/>
      <c r="J8" s="29"/>
    </row>
    <row r="9" spans="1:10" x14ac:dyDescent="0.15">
      <c r="A9" s="12">
        <f>ROW(A8)-ROW(A$7)</f>
        <v>2</v>
      </c>
      <c r="B9" s="18" t="s">
        <v>300</v>
      </c>
      <c r="C9" s="18" t="s">
        <v>301</v>
      </c>
      <c r="D9" s="18" t="s">
        <v>138</v>
      </c>
      <c r="E9" s="19">
        <v>3</v>
      </c>
      <c r="F9" s="14"/>
      <c r="G9" s="12"/>
      <c r="H9" s="12" t="s">
        <v>15</v>
      </c>
      <c r="I9" s="29"/>
      <c r="J9" s="29"/>
    </row>
    <row r="10" spans="1:10" x14ac:dyDescent="0.15">
      <c r="A10" s="12">
        <f>ROW(A8)-ROW(A$7)</f>
        <v>3</v>
      </c>
      <c r="B10" s="18" t="s">
        <v>302</v>
      </c>
      <c r="C10" s="18" t="s">
        <v>303</v>
      </c>
      <c r="D10" s="18" t="s">
        <v>206</v>
      </c>
      <c r="E10" s="19">
        <v>32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 t="s">
        <v>175</v>
      </c>
      <c r="C11" s="18" t="s">
        <v>304</v>
      </c>
      <c r="D11" s="18" t="s">
        <v>179</v>
      </c>
      <c r="E11" s="19">
        <v>64</v>
      </c>
      <c r="F11" s="14"/>
      <c r="G11" s="12"/>
      <c r="H11" s="12" t="s">
        <v>15</v>
      </c>
      <c r="I11" s="29"/>
      <c r="J11" s="29"/>
    </row>
    <row r="12" spans="1:10" x14ac:dyDescent="0.15">
      <c r="A12" s="12">
        <f>ROW(A8)-ROW(A$7)</f>
        <v>5</v>
      </c>
      <c r="B12" s="18" t="s">
        <v>216</v>
      </c>
      <c r="C12" s="18" t="s">
        <v>305</v>
      </c>
      <c r="D12" s="18" t="s">
        <v>250</v>
      </c>
      <c r="E12" s="19">
        <v>256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214</v>
      </c>
      <c r="C13" s="18" t="s">
        <v>306</v>
      </c>
      <c r="D13" s="18" t="s">
        <v>179</v>
      </c>
      <c r="E13" s="19">
        <v>64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84</v>
      </c>
      <c r="C14" s="18" t="s">
        <v>307</v>
      </c>
      <c r="D14" s="18" t="s">
        <v>259</v>
      </c>
      <c r="E14" s="19">
        <v>8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257</v>
      </c>
      <c r="C15" s="18" t="s">
        <v>258</v>
      </c>
      <c r="D15" s="18" t="s">
        <v>138</v>
      </c>
      <c r="E15" s="19">
        <v>3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241</v>
      </c>
      <c r="C16" s="18" t="s">
        <v>308</v>
      </c>
      <c r="D16" s="18" t="s">
        <v>72</v>
      </c>
      <c r="E16" s="19">
        <v>19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/>
      <c r="C17" s="18"/>
      <c r="D17" s="18"/>
      <c r="E17" s="19"/>
      <c r="F17" s="14"/>
      <c r="G17" s="12"/>
      <c r="H17" s="12"/>
      <c r="I17" s="29"/>
      <c r="J17" s="29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  <row r="21" spans="1:10" x14ac:dyDescent="0.15">
      <c r="A21" s="11" t="s">
        <v>0</v>
      </c>
      <c r="B21" s="11" t="s">
        <v>86</v>
      </c>
      <c r="C21" s="11" t="s">
        <v>87</v>
      </c>
      <c r="D21" s="11" t="s">
        <v>88</v>
      </c>
      <c r="E21" s="11" t="s">
        <v>89</v>
      </c>
      <c r="F21" s="11" t="s">
        <v>90</v>
      </c>
      <c r="G21" s="11" t="s">
        <v>91</v>
      </c>
      <c r="H21" s="11" t="s">
        <v>92</v>
      </c>
      <c r="I21" s="11" t="s">
        <v>93</v>
      </c>
      <c r="J21" s="11" t="s">
        <v>69</v>
      </c>
    </row>
    <row r="22" spans="1:10" x14ac:dyDescent="0.15">
      <c r="A22" s="12">
        <f>ROW(A17)-ROW(A$16)</f>
        <v>1</v>
      </c>
      <c r="B22" s="18"/>
      <c r="C22" s="18"/>
      <c r="D22" s="18"/>
      <c r="E22" s="18"/>
      <c r="F22" s="18"/>
      <c r="G22" s="18"/>
      <c r="H22" s="18"/>
      <c r="I22" s="20"/>
      <c r="J22" s="18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/>
  </sheetViews>
  <sheetFormatPr defaultRowHeight="13.5" x14ac:dyDescent="0.15"/>
  <cols>
    <col min="1" max="1" width="4.875" bestFit="1" customWidth="1"/>
    <col min="2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310</v>
      </c>
      <c r="C1" s="24" t="str">
        <f>INDEX(目录!D:D,MATCH(B1,目录!E:E,0))</f>
        <v>滑动新闻表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309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311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312</v>
      </c>
      <c r="D9" s="18" t="s">
        <v>179</v>
      </c>
      <c r="E9" s="19">
        <v>64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313</v>
      </c>
      <c r="C10" s="18" t="s">
        <v>314</v>
      </c>
      <c r="D10" s="18" t="s">
        <v>179</v>
      </c>
      <c r="E10" s="19">
        <v>64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315</v>
      </c>
      <c r="C11" s="18" t="s">
        <v>316</v>
      </c>
      <c r="D11" s="18" t="s">
        <v>250</v>
      </c>
      <c r="E11" s="19">
        <v>256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175</v>
      </c>
      <c r="C12" s="18" t="s">
        <v>317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318</v>
      </c>
      <c r="C13" s="18" t="s">
        <v>319</v>
      </c>
      <c r="D13" s="18" t="s">
        <v>81</v>
      </c>
      <c r="E13" s="19">
        <v>10</v>
      </c>
      <c r="F13" s="14"/>
      <c r="G13" s="12"/>
      <c r="H13" s="12"/>
      <c r="I13" s="29" t="s">
        <v>320</v>
      </c>
      <c r="J13" s="29"/>
    </row>
    <row r="14" spans="1:10" x14ac:dyDescent="0.15">
      <c r="A14" s="12">
        <f>ROW(A8)-ROW(A$7)</f>
        <v>7</v>
      </c>
      <c r="B14" s="18" t="s">
        <v>139</v>
      </c>
      <c r="C14" s="18" t="s">
        <v>321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322</v>
      </c>
      <c r="C15" s="18" t="s">
        <v>323</v>
      </c>
      <c r="D15" s="18" t="s">
        <v>81</v>
      </c>
      <c r="E15" s="19">
        <v>10</v>
      </c>
      <c r="F15" s="14"/>
      <c r="G15" s="12"/>
      <c r="H15" s="12"/>
      <c r="I15" s="29" t="s">
        <v>188</v>
      </c>
      <c r="J15" s="29"/>
    </row>
    <row r="16" spans="1:10" x14ac:dyDescent="0.15">
      <c r="A16" s="12">
        <f>ROW(A8)-ROW(A$7)</f>
        <v>9</v>
      </c>
      <c r="B16" s="18" t="s">
        <v>117</v>
      </c>
      <c r="C16" s="18" t="s">
        <v>324</v>
      </c>
      <c r="D16" s="18" t="s">
        <v>325</v>
      </c>
      <c r="E16" s="19">
        <v>64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/>
      <c r="C17" s="18"/>
      <c r="D17" s="18"/>
      <c r="E17" s="19"/>
      <c r="F17" s="14"/>
      <c r="G17" s="12"/>
      <c r="H17" s="12"/>
      <c r="I17" s="29"/>
      <c r="J17" s="29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  <row r="21" spans="1:10" x14ac:dyDescent="0.15">
      <c r="A21" s="11" t="s">
        <v>0</v>
      </c>
      <c r="B21" s="11" t="s">
        <v>86</v>
      </c>
      <c r="C21" s="11" t="s">
        <v>87</v>
      </c>
      <c r="D21" s="11" t="s">
        <v>88</v>
      </c>
      <c r="E21" s="11" t="s">
        <v>89</v>
      </c>
      <c r="F21" s="11" t="s">
        <v>90</v>
      </c>
      <c r="G21" s="11" t="s">
        <v>91</v>
      </c>
      <c r="H21" s="11" t="s">
        <v>92</v>
      </c>
      <c r="I21" s="11" t="s">
        <v>93</v>
      </c>
      <c r="J21" s="11" t="s">
        <v>69</v>
      </c>
    </row>
    <row r="22" spans="1:10" x14ac:dyDescent="0.15">
      <c r="A22" s="12">
        <f>ROW(A17)-ROW(A$16)</f>
        <v>1</v>
      </c>
      <c r="B22" s="18"/>
      <c r="C22" s="18"/>
      <c r="D22" s="18"/>
      <c r="E22" s="18"/>
      <c r="F22" s="18"/>
      <c r="G22" s="18"/>
      <c r="H22" s="18"/>
      <c r="I22" s="20"/>
      <c r="J22" s="18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workbookViewId="0"/>
  </sheetViews>
  <sheetFormatPr defaultRowHeight="13.5" x14ac:dyDescent="0.15"/>
  <cols>
    <col min="1" max="1" width="4.875" bestFit="1" customWidth="1"/>
    <col min="2" max="2" width="13.875" bestFit="1" customWidth="1"/>
    <col min="3" max="3" width="10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327</v>
      </c>
      <c r="C1" s="24" t="str">
        <f>INDEX(目录!D:D,MATCH(B1,目录!E:E,0))</f>
        <v>消息类型发送频道配置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326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329</v>
      </c>
      <c r="D9" s="18" t="s">
        <v>330</v>
      </c>
      <c r="E9" s="19">
        <v>31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331</v>
      </c>
      <c r="C10" s="18" t="s">
        <v>332</v>
      </c>
      <c r="D10" s="18" t="s">
        <v>333</v>
      </c>
      <c r="E10" s="19">
        <v>40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/>
      <c r="C11" s="18"/>
      <c r="D11" s="18"/>
      <c r="E11" s="19"/>
      <c r="F11" s="14"/>
      <c r="G11" s="12"/>
      <c r="H11" s="12"/>
      <c r="I11" s="29"/>
      <c r="J11" s="29"/>
    </row>
    <row r="12" spans="1:10" x14ac:dyDescent="0.15">
      <c r="A12" s="22" t="s">
        <v>6</v>
      </c>
      <c r="B12" s="22" t="s">
        <v>6</v>
      </c>
      <c r="C12" s="22" t="s">
        <v>6</v>
      </c>
      <c r="D12" s="13" t="s">
        <v>6</v>
      </c>
      <c r="E12" s="13" t="s">
        <v>6</v>
      </c>
      <c r="F12" s="13" t="s">
        <v>6</v>
      </c>
      <c r="G12" s="13" t="s">
        <v>6</v>
      </c>
      <c r="H12" s="13" t="s">
        <v>6</v>
      </c>
      <c r="I12" s="13" t="s">
        <v>6</v>
      </c>
      <c r="J12" s="13" t="s">
        <v>6</v>
      </c>
    </row>
    <row r="15" spans="1:10" x14ac:dyDescent="0.15">
      <c r="A15" s="11" t="s">
        <v>0</v>
      </c>
      <c r="B15" s="11" t="s">
        <v>86</v>
      </c>
      <c r="C15" s="11" t="s">
        <v>87</v>
      </c>
      <c r="D15" s="11" t="s">
        <v>88</v>
      </c>
      <c r="E15" s="11" t="s">
        <v>89</v>
      </c>
      <c r="F15" s="11" t="s">
        <v>90</v>
      </c>
      <c r="G15" s="11" t="s">
        <v>91</v>
      </c>
      <c r="H15" s="11" t="s">
        <v>92</v>
      </c>
      <c r="I15" s="11" t="s">
        <v>93</v>
      </c>
      <c r="J15" s="11" t="s">
        <v>69</v>
      </c>
    </row>
    <row r="16" spans="1:10" x14ac:dyDescent="0.15">
      <c r="A16" s="12">
        <f>ROW(A17)-ROW(A$16)</f>
        <v>1</v>
      </c>
      <c r="B16" s="18"/>
      <c r="C16" s="18"/>
      <c r="D16" s="18"/>
      <c r="E16" s="18"/>
      <c r="F16" s="18"/>
      <c r="G16" s="18"/>
      <c r="H16" s="18"/>
      <c r="I16" s="20"/>
      <c r="J16" s="18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4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335</v>
      </c>
      <c r="C1" s="24" t="str">
        <f>INDEX(目录!D:D,MATCH(B1,目录!E:E,0))</f>
        <v>消息队列表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334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336</v>
      </c>
      <c r="E8" s="19">
        <v>10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337</v>
      </c>
      <c r="C9" s="18" t="s">
        <v>338</v>
      </c>
      <c r="D9" s="18" t="s">
        <v>78</v>
      </c>
      <c r="E9" s="19">
        <v>65535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328</v>
      </c>
      <c r="C10" s="18" t="s">
        <v>339</v>
      </c>
      <c r="D10" s="18" t="s">
        <v>330</v>
      </c>
      <c r="E10" s="19">
        <v>31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340</v>
      </c>
      <c r="C11" s="18" t="s">
        <v>341</v>
      </c>
      <c r="D11" s="18" t="s">
        <v>342</v>
      </c>
      <c r="E11" s="19">
        <v>511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343</v>
      </c>
      <c r="C12" s="18" t="s">
        <v>344</v>
      </c>
      <c r="D12" s="18" t="s">
        <v>345</v>
      </c>
      <c r="E12" s="19">
        <v>10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346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347</v>
      </c>
      <c r="C14" s="18" t="s">
        <v>348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349</v>
      </c>
      <c r="C15" s="18" t="s">
        <v>350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/>
  </sheetViews>
  <sheetFormatPr defaultRowHeight="13.5" x14ac:dyDescent="0.15"/>
  <cols>
    <col min="1" max="1" width="4.875" bestFit="1" customWidth="1"/>
    <col min="2" max="2" width="34.875" bestFit="1" customWidth="1"/>
    <col min="3" max="3" width="16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351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127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130</v>
      </c>
      <c r="C10" s="18" t="s">
        <v>130</v>
      </c>
      <c r="D10" s="18" t="s">
        <v>124</v>
      </c>
      <c r="E10" s="19">
        <v>500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352</v>
      </c>
      <c r="C11" s="18" t="s">
        <v>352</v>
      </c>
      <c r="D11" s="18" t="s">
        <v>353</v>
      </c>
      <c r="E11" s="19">
        <v>1000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354</v>
      </c>
      <c r="C12" s="18" t="s">
        <v>354</v>
      </c>
      <c r="D12" s="18" t="s">
        <v>102</v>
      </c>
      <c r="E12" s="19">
        <v>10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355</v>
      </c>
      <c r="C13" s="18" t="s">
        <v>355</v>
      </c>
      <c r="D13" s="18" t="s">
        <v>81</v>
      </c>
      <c r="E13" s="19">
        <v>10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356</v>
      </c>
      <c r="C14" s="18" t="s">
        <v>356</v>
      </c>
      <c r="D14" s="18" t="s">
        <v>357</v>
      </c>
      <c r="E14" s="19">
        <v>8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358</v>
      </c>
      <c r="C15" s="18" t="s">
        <v>358</v>
      </c>
      <c r="D15" s="18" t="s">
        <v>357</v>
      </c>
      <c r="E15" s="19">
        <v>8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359</v>
      </c>
      <c r="C16" s="18" t="s">
        <v>359</v>
      </c>
      <c r="D16" s="18" t="s">
        <v>106</v>
      </c>
      <c r="E16" s="19">
        <v>100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360</v>
      </c>
      <c r="C17" s="18" t="s">
        <v>360</v>
      </c>
      <c r="D17" s="18" t="s">
        <v>106</v>
      </c>
      <c r="E17" s="19">
        <v>100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/>
      <c r="C18" s="18"/>
      <c r="D18" s="18"/>
      <c r="E18" s="19"/>
      <c r="F18" s="14"/>
      <c r="G18" s="12"/>
      <c r="H18" s="12"/>
      <c r="I18" s="29"/>
      <c r="J18" s="29"/>
    </row>
    <row r="19" spans="1:10" x14ac:dyDescent="0.15">
      <c r="A19" s="22" t="s">
        <v>6</v>
      </c>
      <c r="B19" s="22" t="s">
        <v>6</v>
      </c>
      <c r="C19" s="22" t="s">
        <v>6</v>
      </c>
      <c r="D19" s="13" t="s">
        <v>6</v>
      </c>
      <c r="E19" s="13" t="s">
        <v>6</v>
      </c>
      <c r="F19" s="13" t="s">
        <v>6</v>
      </c>
      <c r="G19" s="13" t="s">
        <v>6</v>
      </c>
      <c r="H19" s="13" t="s">
        <v>6</v>
      </c>
      <c r="I19" s="13" t="s">
        <v>6</v>
      </c>
      <c r="J19" s="13" t="s">
        <v>6</v>
      </c>
    </row>
    <row r="22" spans="1:10" x14ac:dyDescent="0.15">
      <c r="A22" s="11" t="s">
        <v>0</v>
      </c>
      <c r="B22" s="11" t="s">
        <v>86</v>
      </c>
      <c r="C22" s="11" t="s">
        <v>87</v>
      </c>
      <c r="D22" s="11" t="s">
        <v>88</v>
      </c>
      <c r="E22" s="11" t="s">
        <v>89</v>
      </c>
      <c r="F22" s="11" t="s">
        <v>90</v>
      </c>
      <c r="G22" s="11" t="s">
        <v>91</v>
      </c>
      <c r="H22" s="11" t="s">
        <v>92</v>
      </c>
      <c r="I22" s="11" t="s">
        <v>93</v>
      </c>
      <c r="J22" s="11" t="s">
        <v>69</v>
      </c>
    </row>
    <row r="23" spans="1:10" x14ac:dyDescent="0.15">
      <c r="A23" s="12">
        <f>ROW(A17)-ROW(A$16)</f>
        <v>1</v>
      </c>
      <c r="B23" s="18" t="s">
        <v>361</v>
      </c>
      <c r="C23" s="18" t="s">
        <v>127</v>
      </c>
      <c r="D23" s="18" t="s">
        <v>354</v>
      </c>
      <c r="E23" s="18"/>
      <c r="F23" s="18"/>
      <c r="G23" s="18"/>
      <c r="H23" s="18"/>
      <c r="I23" s="20" t="s">
        <v>95</v>
      </c>
      <c r="J23" s="18" t="s">
        <v>96</v>
      </c>
    </row>
    <row r="24" spans="1:10" x14ac:dyDescent="0.15">
      <c r="A24" s="12">
        <f>ROW(A17)-ROW(A$16)</f>
        <v>1</v>
      </c>
      <c r="B24" s="18"/>
      <c r="C24" s="18"/>
      <c r="D24" s="18"/>
      <c r="E24" s="18"/>
      <c r="F24" s="18"/>
      <c r="G24" s="18"/>
      <c r="H24" s="18"/>
      <c r="I24" s="20"/>
      <c r="J24" s="18"/>
    </row>
    <row r="25" spans="1:10" x14ac:dyDescent="0.15">
      <c r="A25" s="22" t="s">
        <v>6</v>
      </c>
      <c r="B25" s="22" t="s">
        <v>6</v>
      </c>
      <c r="C25" s="22" t="s">
        <v>6</v>
      </c>
      <c r="D25" s="13" t="s">
        <v>6</v>
      </c>
      <c r="E25" s="13" t="s">
        <v>6</v>
      </c>
      <c r="F25" s="13" t="s">
        <v>6</v>
      </c>
      <c r="G25" s="13" t="s">
        <v>6</v>
      </c>
      <c r="H25" s="13" t="s">
        <v>6</v>
      </c>
      <c r="I25" s="13" t="s">
        <v>6</v>
      </c>
      <c r="J25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5"/>
  <sheetViews>
    <sheetView workbookViewId="0"/>
  </sheetViews>
  <sheetFormatPr defaultRowHeight="13.5" x14ac:dyDescent="0.15"/>
  <cols>
    <col min="1" max="1" width="4.875" bestFit="1" customWidth="1"/>
    <col min="2" max="2" width="47.875" bestFit="1" customWidth="1"/>
    <col min="3" max="3" width="26.875" bestFit="1" customWidth="1"/>
    <col min="4" max="4" width="14.875" bestFit="1" customWidth="1"/>
    <col min="5" max="8" width="8.875" bestFit="1" customWidth="1"/>
    <col min="9" max="9" width="19.875" bestFit="1" customWidth="1"/>
    <col min="10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362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363</v>
      </c>
      <c r="C9" s="18" t="s">
        <v>363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364</v>
      </c>
      <c r="C10" s="18" t="s">
        <v>364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347</v>
      </c>
      <c r="C11" s="18" t="s">
        <v>347</v>
      </c>
      <c r="D11" s="18" t="s">
        <v>135</v>
      </c>
      <c r="E11" s="19">
        <v>19</v>
      </c>
      <c r="F11" s="14"/>
      <c r="G11" s="12"/>
      <c r="H11" s="12" t="s">
        <v>15</v>
      </c>
      <c r="I11" s="29" t="s">
        <v>136</v>
      </c>
      <c r="J11" s="29"/>
    </row>
    <row r="12" spans="1:10" x14ac:dyDescent="0.15">
      <c r="A12" s="12">
        <f>ROW(A8)-ROW(A$7)</f>
        <v>5</v>
      </c>
      <c r="B12" s="18" t="s">
        <v>130</v>
      </c>
      <c r="C12" s="18" t="s">
        <v>130</v>
      </c>
      <c r="D12" s="18" t="s">
        <v>109</v>
      </c>
      <c r="E12" s="19">
        <v>200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365</v>
      </c>
      <c r="C13" s="18" t="s">
        <v>365</v>
      </c>
      <c r="D13" s="18" t="s">
        <v>366</v>
      </c>
      <c r="E13" s="19">
        <v>20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367</v>
      </c>
      <c r="C14" s="18" t="s">
        <v>367</v>
      </c>
      <c r="D14" s="18" t="s">
        <v>135</v>
      </c>
      <c r="E14" s="19">
        <v>19</v>
      </c>
      <c r="F14" s="14"/>
      <c r="G14" s="12"/>
      <c r="H14" s="12" t="s">
        <v>15</v>
      </c>
      <c r="I14" s="29" t="s">
        <v>136</v>
      </c>
      <c r="J14" s="29"/>
    </row>
    <row r="15" spans="1:10" x14ac:dyDescent="0.15">
      <c r="A15" s="12">
        <f>ROW(A8)-ROW(A$7)</f>
        <v>8</v>
      </c>
      <c r="B15" s="18" t="s">
        <v>368</v>
      </c>
      <c r="C15" s="18" t="s">
        <v>368</v>
      </c>
      <c r="D15" s="18" t="s">
        <v>366</v>
      </c>
      <c r="E15" s="19">
        <v>20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369</v>
      </c>
      <c r="C16" s="18" t="s">
        <v>369</v>
      </c>
      <c r="D16" s="18" t="s">
        <v>135</v>
      </c>
      <c r="E16" s="19">
        <v>19</v>
      </c>
      <c r="F16" s="14"/>
      <c r="G16" s="12"/>
      <c r="H16" s="12" t="s">
        <v>15</v>
      </c>
      <c r="I16" s="29" t="s">
        <v>136</v>
      </c>
      <c r="J16" s="29"/>
    </row>
    <row r="17" spans="1:10" x14ac:dyDescent="0.15">
      <c r="A17" s="12">
        <f>ROW(A8)-ROW(A$7)</f>
        <v>10</v>
      </c>
      <c r="B17" s="18" t="s">
        <v>117</v>
      </c>
      <c r="C17" s="18" t="s">
        <v>117</v>
      </c>
      <c r="D17" s="18" t="s">
        <v>366</v>
      </c>
      <c r="E17" s="19">
        <v>20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137</v>
      </c>
      <c r="C18" s="18" t="s">
        <v>137</v>
      </c>
      <c r="D18" s="18" t="s">
        <v>138</v>
      </c>
      <c r="E18" s="19">
        <v>3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370</v>
      </c>
      <c r="C19" s="18" t="s">
        <v>370</v>
      </c>
      <c r="D19" s="18" t="s">
        <v>138</v>
      </c>
      <c r="E19" s="19">
        <v>3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82</v>
      </c>
      <c r="C20" s="18" t="s">
        <v>82</v>
      </c>
      <c r="D20" s="18" t="s">
        <v>72</v>
      </c>
      <c r="E20" s="19">
        <v>19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208</v>
      </c>
      <c r="C21" s="18" t="s">
        <v>208</v>
      </c>
      <c r="D21" s="18" t="s">
        <v>109</v>
      </c>
      <c r="E21" s="19">
        <v>200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/>
      <c r="C22" s="18"/>
      <c r="D22" s="18"/>
      <c r="E22" s="19"/>
      <c r="F22" s="14"/>
      <c r="G22" s="12"/>
      <c r="H22" s="12"/>
      <c r="I22" s="29"/>
      <c r="J22" s="29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  <row r="26" spans="1:10" x14ac:dyDescent="0.15">
      <c r="A26" s="11" t="s">
        <v>0</v>
      </c>
      <c r="B26" s="11" t="s">
        <v>86</v>
      </c>
      <c r="C26" s="11" t="s">
        <v>87</v>
      </c>
      <c r="D26" s="11" t="s">
        <v>88</v>
      </c>
      <c r="E26" s="11" t="s">
        <v>89</v>
      </c>
      <c r="F26" s="11" t="s">
        <v>90</v>
      </c>
      <c r="G26" s="11" t="s">
        <v>91</v>
      </c>
      <c r="H26" s="11" t="s">
        <v>92</v>
      </c>
      <c r="I26" s="11" t="s">
        <v>93</v>
      </c>
      <c r="J26" s="11" t="s">
        <v>69</v>
      </c>
    </row>
    <row r="27" spans="1:10" x14ac:dyDescent="0.15">
      <c r="A27" s="12">
        <f>ROW(A17)-ROW(A$16)</f>
        <v>1</v>
      </c>
      <c r="B27" s="18" t="s">
        <v>371</v>
      </c>
      <c r="C27" s="18" t="s">
        <v>364</v>
      </c>
      <c r="D27" s="18" t="s">
        <v>368</v>
      </c>
      <c r="E27" s="18" t="s">
        <v>137</v>
      </c>
      <c r="F27" s="18"/>
      <c r="G27" s="18"/>
      <c r="H27" s="18"/>
      <c r="I27" s="20" t="s">
        <v>95</v>
      </c>
      <c r="J27" s="18" t="s">
        <v>96</v>
      </c>
    </row>
    <row r="28" spans="1:10" x14ac:dyDescent="0.15">
      <c r="A28" s="12">
        <f>ROW(A17)-ROW(A$16)</f>
        <v>2</v>
      </c>
      <c r="B28" s="18" t="s">
        <v>372</v>
      </c>
      <c r="C28" s="18" t="s">
        <v>363</v>
      </c>
      <c r="D28" s="18" t="s">
        <v>365</v>
      </c>
      <c r="E28" s="18"/>
      <c r="F28" s="18"/>
      <c r="G28" s="18"/>
      <c r="H28" s="18"/>
      <c r="I28" s="20" t="s">
        <v>95</v>
      </c>
      <c r="J28" s="18" t="s">
        <v>96</v>
      </c>
    </row>
    <row r="29" spans="1:10" x14ac:dyDescent="0.15">
      <c r="A29" s="12">
        <f>ROW(A17)-ROW(A$16)</f>
        <v>3</v>
      </c>
      <c r="B29" s="18" t="s">
        <v>373</v>
      </c>
      <c r="C29" s="18" t="s">
        <v>117</v>
      </c>
      <c r="D29" s="18"/>
      <c r="E29" s="18"/>
      <c r="F29" s="18"/>
      <c r="G29" s="18"/>
      <c r="H29" s="18"/>
      <c r="I29" s="20" t="s">
        <v>95</v>
      </c>
      <c r="J29" s="18" t="s">
        <v>96</v>
      </c>
    </row>
    <row r="30" spans="1:10" x14ac:dyDescent="0.15">
      <c r="A30" s="12">
        <f>ROW(A17)-ROW(A$16)</f>
        <v>4</v>
      </c>
      <c r="B30" s="18" t="s">
        <v>374</v>
      </c>
      <c r="C30" s="18" t="s">
        <v>82</v>
      </c>
      <c r="D30" s="18"/>
      <c r="E30" s="18"/>
      <c r="F30" s="18"/>
      <c r="G30" s="18"/>
      <c r="H30" s="18"/>
      <c r="I30" s="20" t="s">
        <v>95</v>
      </c>
      <c r="J30" s="18" t="s">
        <v>96</v>
      </c>
    </row>
    <row r="31" spans="1:10" x14ac:dyDescent="0.15">
      <c r="A31" s="12">
        <f>ROW(A17)-ROW(A$16)</f>
        <v>5</v>
      </c>
      <c r="B31" s="18" t="s">
        <v>375</v>
      </c>
      <c r="C31" s="18" t="s">
        <v>208</v>
      </c>
      <c r="D31" s="18"/>
      <c r="E31" s="18"/>
      <c r="F31" s="18"/>
      <c r="G31" s="18"/>
      <c r="H31" s="18"/>
      <c r="I31" s="20" t="s">
        <v>95</v>
      </c>
      <c r="J31" s="18" t="s">
        <v>96</v>
      </c>
    </row>
    <row r="32" spans="1:10" x14ac:dyDescent="0.15">
      <c r="A32" s="12">
        <f>ROW(A17)-ROW(A$16)</f>
        <v>6</v>
      </c>
      <c r="B32" s="18" t="s">
        <v>376</v>
      </c>
      <c r="C32" s="18" t="s">
        <v>369</v>
      </c>
      <c r="D32" s="18"/>
      <c r="E32" s="18"/>
      <c r="F32" s="18"/>
      <c r="G32" s="18"/>
      <c r="H32" s="18"/>
      <c r="I32" s="20" t="s">
        <v>95</v>
      </c>
      <c r="J32" s="18" t="s">
        <v>96</v>
      </c>
    </row>
    <row r="33" spans="1:10" x14ac:dyDescent="0.15">
      <c r="A33" s="12">
        <f>ROW(A17)-ROW(A$16)</f>
        <v>7</v>
      </c>
      <c r="B33" s="18" t="s">
        <v>377</v>
      </c>
      <c r="C33" s="18" t="s">
        <v>367</v>
      </c>
      <c r="D33" s="18"/>
      <c r="E33" s="18"/>
      <c r="F33" s="18"/>
      <c r="G33" s="18"/>
      <c r="H33" s="18"/>
      <c r="I33" s="20" t="s">
        <v>95</v>
      </c>
      <c r="J33" s="18" t="s">
        <v>96</v>
      </c>
    </row>
    <row r="34" spans="1:10" x14ac:dyDescent="0.15">
      <c r="A34" s="12">
        <f>ROW(A17)-ROW(A$16)</f>
        <v>1</v>
      </c>
      <c r="B34" s="18"/>
      <c r="C34" s="18"/>
      <c r="D34" s="18"/>
      <c r="E34" s="18"/>
      <c r="F34" s="18"/>
      <c r="G34" s="18"/>
      <c r="H34" s="18"/>
      <c r="I34" s="20"/>
      <c r="J34" s="18"/>
    </row>
    <row r="35" spans="1:10" x14ac:dyDescent="0.15">
      <c r="A35" s="22" t="s">
        <v>6</v>
      </c>
      <c r="B35" s="22" t="s">
        <v>6</v>
      </c>
      <c r="C35" s="22" t="s">
        <v>6</v>
      </c>
      <c r="D35" s="13" t="s">
        <v>6</v>
      </c>
      <c r="E35" s="13" t="s">
        <v>6</v>
      </c>
      <c r="F35" s="13" t="s">
        <v>6</v>
      </c>
      <c r="G35" s="13" t="s">
        <v>6</v>
      </c>
      <c r="H35" s="13" t="s">
        <v>6</v>
      </c>
      <c r="I35" s="13" t="s">
        <v>6</v>
      </c>
      <c r="J35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workbookViewId="0"/>
  </sheetViews>
  <sheetFormatPr defaultRowHeight="13.5" x14ac:dyDescent="0.15"/>
  <cols>
    <col min="1" max="1" width="4.875" bestFit="1" customWidth="1"/>
    <col min="2" max="2" width="39.875" bestFit="1" customWidth="1"/>
    <col min="3" max="3" width="10.875" bestFit="1" customWidth="1"/>
    <col min="4" max="4" width="8.875" bestFit="1" customWidth="1"/>
    <col min="5" max="5" width="10.875" bestFit="1" customWidth="1"/>
    <col min="6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378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379</v>
      </c>
      <c r="C9" s="18" t="s">
        <v>379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132</v>
      </c>
      <c r="C10" s="18" t="s">
        <v>132</v>
      </c>
      <c r="D10" s="18" t="s">
        <v>380</v>
      </c>
      <c r="E10" s="19">
        <v>2147483647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/>
      <c r="C11" s="18"/>
      <c r="D11" s="18"/>
      <c r="E11" s="19"/>
      <c r="F11" s="14"/>
      <c r="G11" s="12"/>
      <c r="H11" s="12"/>
      <c r="I11" s="29"/>
      <c r="J11" s="29"/>
    </row>
    <row r="12" spans="1:10" x14ac:dyDescent="0.15">
      <c r="A12" s="22" t="s">
        <v>6</v>
      </c>
      <c r="B12" s="22" t="s">
        <v>6</v>
      </c>
      <c r="C12" s="22" t="s">
        <v>6</v>
      </c>
      <c r="D12" s="13" t="s">
        <v>6</v>
      </c>
      <c r="E12" s="13" t="s">
        <v>6</v>
      </c>
      <c r="F12" s="13" t="s">
        <v>6</v>
      </c>
      <c r="G12" s="13" t="s">
        <v>6</v>
      </c>
      <c r="H12" s="13" t="s">
        <v>6</v>
      </c>
      <c r="I12" s="13" t="s">
        <v>6</v>
      </c>
      <c r="J12" s="13" t="s">
        <v>6</v>
      </c>
    </row>
    <row r="15" spans="1:10" x14ac:dyDescent="0.15">
      <c r="A15" s="11" t="s">
        <v>0</v>
      </c>
      <c r="B15" s="11" t="s">
        <v>86</v>
      </c>
      <c r="C15" s="11" t="s">
        <v>87</v>
      </c>
      <c r="D15" s="11" t="s">
        <v>88</v>
      </c>
      <c r="E15" s="11" t="s">
        <v>89</v>
      </c>
      <c r="F15" s="11" t="s">
        <v>90</v>
      </c>
      <c r="G15" s="11" t="s">
        <v>91</v>
      </c>
      <c r="H15" s="11" t="s">
        <v>92</v>
      </c>
      <c r="I15" s="11" t="s">
        <v>93</v>
      </c>
      <c r="J15" s="11" t="s">
        <v>69</v>
      </c>
    </row>
    <row r="16" spans="1:10" x14ac:dyDescent="0.15">
      <c r="A16" s="12">
        <f>ROW(A17)-ROW(A$16)</f>
        <v>1</v>
      </c>
      <c r="B16" s="18" t="s">
        <v>381</v>
      </c>
      <c r="C16" s="18" t="s">
        <v>379</v>
      </c>
      <c r="D16" s="18"/>
      <c r="E16" s="18"/>
      <c r="F16" s="18"/>
      <c r="G16" s="18"/>
      <c r="H16" s="18"/>
      <c r="I16" s="20" t="s">
        <v>95</v>
      </c>
      <c r="J16" s="18" t="s">
        <v>96</v>
      </c>
    </row>
    <row r="17" spans="1:10" x14ac:dyDescent="0.15">
      <c r="A17" s="12">
        <f>ROW(A17)-ROW(A$16)</f>
        <v>1</v>
      </c>
      <c r="B17" s="18"/>
      <c r="C17" s="18"/>
      <c r="D17" s="18"/>
      <c r="E17" s="18"/>
      <c r="F17" s="18"/>
      <c r="G17" s="18"/>
      <c r="H17" s="18"/>
      <c r="I17" s="20"/>
      <c r="J17" s="18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6"/>
  <sheetViews>
    <sheetView workbookViewId="0"/>
  </sheetViews>
  <sheetFormatPr defaultRowHeight="13.5" x14ac:dyDescent="0.15"/>
  <cols>
    <col min="1" max="1" width="4.875" bestFit="1" customWidth="1"/>
    <col min="2" max="2" width="25.875" bestFit="1" customWidth="1"/>
    <col min="3" max="3" width="15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382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383</v>
      </c>
      <c r="C9" s="18" t="s">
        <v>383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384</v>
      </c>
      <c r="C10" s="18" t="s">
        <v>384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127</v>
      </c>
      <c r="C11" s="18" t="s">
        <v>127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385</v>
      </c>
      <c r="C12" s="18" t="s">
        <v>385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386</v>
      </c>
      <c r="C13" s="18" t="s">
        <v>386</v>
      </c>
      <c r="D13" s="18" t="s">
        <v>124</v>
      </c>
      <c r="E13" s="19">
        <v>500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117</v>
      </c>
      <c r="C14" s="18" t="s">
        <v>117</v>
      </c>
      <c r="D14" s="18" t="s">
        <v>129</v>
      </c>
      <c r="E14" s="19">
        <v>50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 t="s">
        <v>387</v>
      </c>
      <c r="C20" s="18" t="s">
        <v>385</v>
      </c>
      <c r="D20" s="18"/>
      <c r="E20" s="18"/>
      <c r="F20" s="18"/>
      <c r="G20" s="18"/>
      <c r="H20" s="18"/>
      <c r="I20" s="20" t="s">
        <v>95</v>
      </c>
      <c r="J20" s="18" t="s">
        <v>96</v>
      </c>
    </row>
    <row r="21" spans="1:10" x14ac:dyDescent="0.15">
      <c r="A21" s="12">
        <f>ROW(A17)-ROW(A$16)</f>
        <v>2</v>
      </c>
      <c r="B21" s="18" t="s">
        <v>388</v>
      </c>
      <c r="C21" s="18" t="s">
        <v>384</v>
      </c>
      <c r="D21" s="18"/>
      <c r="E21" s="18"/>
      <c r="F21" s="18"/>
      <c r="G21" s="18"/>
      <c r="H21" s="18"/>
      <c r="I21" s="20" t="s">
        <v>95</v>
      </c>
      <c r="J21" s="18" t="s">
        <v>96</v>
      </c>
    </row>
    <row r="22" spans="1:10" x14ac:dyDescent="0.15">
      <c r="A22" s="12">
        <f>ROW(A17)-ROW(A$16)</f>
        <v>3</v>
      </c>
      <c r="B22" s="18" t="s">
        <v>389</v>
      </c>
      <c r="C22" s="18" t="s">
        <v>383</v>
      </c>
      <c r="D22" s="18"/>
      <c r="E22" s="18"/>
      <c r="F22" s="18"/>
      <c r="G22" s="18"/>
      <c r="H22" s="18"/>
      <c r="I22" s="20" t="s">
        <v>95</v>
      </c>
      <c r="J22" s="18" t="s">
        <v>96</v>
      </c>
    </row>
    <row r="23" spans="1:10" x14ac:dyDescent="0.15">
      <c r="A23" s="12">
        <f>ROW(A17)-ROW(A$16)</f>
        <v>4</v>
      </c>
      <c r="B23" s="18" t="s">
        <v>390</v>
      </c>
      <c r="C23" s="18" t="s">
        <v>117</v>
      </c>
      <c r="D23" s="18"/>
      <c r="E23" s="18"/>
      <c r="F23" s="18"/>
      <c r="G23" s="18"/>
      <c r="H23" s="18"/>
      <c r="I23" s="20" t="s">
        <v>95</v>
      </c>
      <c r="J23" s="18" t="s">
        <v>96</v>
      </c>
    </row>
    <row r="24" spans="1:10" x14ac:dyDescent="0.15">
      <c r="A24" s="12">
        <f>ROW(A17)-ROW(A$16)</f>
        <v>5</v>
      </c>
      <c r="B24" s="18" t="s">
        <v>391</v>
      </c>
      <c r="C24" s="18" t="s">
        <v>127</v>
      </c>
      <c r="D24" s="18"/>
      <c r="E24" s="18"/>
      <c r="F24" s="18"/>
      <c r="G24" s="18"/>
      <c r="H24" s="18"/>
      <c r="I24" s="20" t="s">
        <v>95</v>
      </c>
      <c r="J24" s="18" t="s">
        <v>96</v>
      </c>
    </row>
    <row r="25" spans="1:10" x14ac:dyDescent="0.15">
      <c r="A25" s="12">
        <f>ROW(A17)-ROW(A$16)</f>
        <v>1</v>
      </c>
      <c r="B25" s="18"/>
      <c r="C25" s="18"/>
      <c r="D25" s="18"/>
      <c r="E25" s="18"/>
      <c r="F25" s="18"/>
      <c r="G25" s="18"/>
      <c r="H25" s="18"/>
      <c r="I25" s="20"/>
      <c r="J25" s="18"/>
    </row>
    <row r="26" spans="1:10" x14ac:dyDescent="0.15">
      <c r="A26" s="22" t="s">
        <v>6</v>
      </c>
      <c r="B26" s="22" t="s">
        <v>6</v>
      </c>
      <c r="C26" s="22" t="s">
        <v>6</v>
      </c>
      <c r="D26" s="13" t="s">
        <v>6</v>
      </c>
      <c r="E26" s="13" t="s">
        <v>6</v>
      </c>
      <c r="F26" s="13" t="s">
        <v>6</v>
      </c>
      <c r="G26" s="13" t="s">
        <v>6</v>
      </c>
      <c r="H26" s="13" t="s">
        <v>6</v>
      </c>
      <c r="I26" s="13" t="s">
        <v>6</v>
      </c>
      <c r="J26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3" width="12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392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393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394</v>
      </c>
      <c r="C9" s="18" t="s">
        <v>395</v>
      </c>
      <c r="D9" s="18" t="s">
        <v>166</v>
      </c>
      <c r="E9" s="19">
        <v>128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396</v>
      </c>
      <c r="C10" s="18" t="s">
        <v>397</v>
      </c>
      <c r="D10" s="18" t="s">
        <v>166</v>
      </c>
      <c r="E10" s="19">
        <v>128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398</v>
      </c>
      <c r="C11" s="18" t="s">
        <v>399</v>
      </c>
      <c r="D11" s="18" t="s">
        <v>400</v>
      </c>
      <c r="E11" s="19">
        <v>1024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401</v>
      </c>
      <c r="C12" s="18" t="s">
        <v>402</v>
      </c>
      <c r="D12" s="18" t="s">
        <v>81</v>
      </c>
      <c r="E12" s="19">
        <v>10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403</v>
      </c>
      <c r="C13" s="18" t="s">
        <v>404</v>
      </c>
      <c r="D13" s="18" t="s">
        <v>138</v>
      </c>
      <c r="E13" s="19">
        <v>3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255</v>
      </c>
      <c r="C14" s="18" t="s">
        <v>77</v>
      </c>
      <c r="D14" s="18" t="s">
        <v>400</v>
      </c>
      <c r="E14" s="19">
        <v>1024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17.875" bestFit="1" customWidth="1"/>
    <col min="3" max="3" width="14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405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393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74</v>
      </c>
      <c r="D9" s="18" t="s">
        <v>166</v>
      </c>
      <c r="E9" s="19">
        <v>128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406</v>
      </c>
      <c r="C10" s="18" t="s">
        <v>407</v>
      </c>
      <c r="D10" s="18" t="s">
        <v>166</v>
      </c>
      <c r="E10" s="19">
        <v>128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408</v>
      </c>
      <c r="C11" s="18" t="s">
        <v>409</v>
      </c>
      <c r="D11" s="18" t="s">
        <v>166</v>
      </c>
      <c r="E11" s="19">
        <v>128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410</v>
      </c>
      <c r="C12" s="18" t="s">
        <v>411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412</v>
      </c>
      <c r="C13" s="18" t="s">
        <v>413</v>
      </c>
      <c r="D13" s="18" t="s">
        <v>166</v>
      </c>
      <c r="E13" s="19">
        <v>128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414</v>
      </c>
      <c r="C14" s="18" t="s">
        <v>415</v>
      </c>
      <c r="D14" s="18" t="s">
        <v>218</v>
      </c>
      <c r="E14" s="19">
        <v>512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13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417</v>
      </c>
      <c r="C1" s="24" t="str">
        <f>INDEX(目录!D:D,MATCH(B1,目录!E:E,0))</f>
        <v>中国语种字典表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416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393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418</v>
      </c>
      <c r="C9" s="18" t="s">
        <v>419</v>
      </c>
      <c r="D9" s="18" t="s">
        <v>179</v>
      </c>
      <c r="E9" s="19">
        <v>64</v>
      </c>
      <c r="F9" s="14"/>
      <c r="G9" s="12"/>
      <c r="H9" s="12"/>
      <c r="I9" s="29" t="s">
        <v>188</v>
      </c>
      <c r="J9" s="29"/>
    </row>
    <row r="10" spans="1:10" x14ac:dyDescent="0.15">
      <c r="A10" s="12">
        <f>ROW(A8)-ROW(A$7)</f>
        <v>3</v>
      </c>
      <c r="B10" s="18" t="s">
        <v>144</v>
      </c>
      <c r="C10" s="18" t="s">
        <v>420</v>
      </c>
      <c r="D10" s="18" t="s">
        <v>179</v>
      </c>
      <c r="E10" s="19">
        <v>64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421</v>
      </c>
      <c r="C11" s="18" t="s">
        <v>422</v>
      </c>
      <c r="D11" s="18" t="s">
        <v>179</v>
      </c>
      <c r="E11" s="19">
        <v>64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423</v>
      </c>
      <c r="C12" s="18" t="s">
        <v>424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401</v>
      </c>
      <c r="C13" s="18" t="s">
        <v>402</v>
      </c>
      <c r="D13" s="18" t="s">
        <v>81</v>
      </c>
      <c r="E13" s="19">
        <v>10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10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426</v>
      </c>
      <c r="C1" s="24" t="str">
        <f>INDEX(目录!D:D,MATCH(B1,目录!E:E,0))</f>
        <v>字典表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425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393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82</v>
      </c>
      <c r="C9" s="18" t="s">
        <v>207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208</v>
      </c>
      <c r="C10" s="18" t="s">
        <v>427</v>
      </c>
      <c r="D10" s="18" t="s">
        <v>109</v>
      </c>
      <c r="E10" s="19">
        <v>200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394</v>
      </c>
      <c r="C11" s="18" t="s">
        <v>428</v>
      </c>
      <c r="D11" s="18" t="s">
        <v>179</v>
      </c>
      <c r="E11" s="19">
        <v>64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396</v>
      </c>
      <c r="C12" s="18" t="s">
        <v>397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398</v>
      </c>
      <c r="C13" s="18" t="s">
        <v>399</v>
      </c>
      <c r="D13" s="18" t="s">
        <v>400</v>
      </c>
      <c r="E13" s="19">
        <v>1024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401</v>
      </c>
      <c r="C14" s="18" t="s">
        <v>402</v>
      </c>
      <c r="D14" s="18" t="s">
        <v>81</v>
      </c>
      <c r="E14" s="19">
        <v>10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255</v>
      </c>
      <c r="C15" s="18" t="s">
        <v>77</v>
      </c>
      <c r="D15" s="18" t="s">
        <v>400</v>
      </c>
      <c r="E15" s="19">
        <v>1024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37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430</v>
      </c>
      <c r="C1" s="24" t="str">
        <f>INDEX(目录!D:D,MATCH(B1,目录!E:E,0))</f>
        <v>地区信息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429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431</v>
      </c>
      <c r="D8" s="18" t="s">
        <v>98</v>
      </c>
      <c r="E8" s="19">
        <v>36</v>
      </c>
      <c r="F8" s="14"/>
      <c r="G8" s="12" t="s">
        <v>15</v>
      </c>
      <c r="H8" s="12" t="s">
        <v>15</v>
      </c>
      <c r="I8" s="29"/>
      <c r="J8" s="29"/>
    </row>
    <row r="9" spans="1:10" x14ac:dyDescent="0.15">
      <c r="A9" s="12">
        <f>ROW(A8)-ROW(A$7)</f>
        <v>2</v>
      </c>
      <c r="B9" s="18" t="s">
        <v>82</v>
      </c>
      <c r="C9" s="18" t="s">
        <v>432</v>
      </c>
      <c r="D9" s="18" t="s">
        <v>98</v>
      </c>
      <c r="E9" s="19">
        <v>36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433</v>
      </c>
      <c r="C10" s="18" t="s">
        <v>434</v>
      </c>
      <c r="D10" s="18" t="s">
        <v>435</v>
      </c>
      <c r="E10" s="19">
        <v>20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 t="s">
        <v>436</v>
      </c>
      <c r="C11" s="18" t="s">
        <v>437</v>
      </c>
      <c r="D11" s="18" t="s">
        <v>438</v>
      </c>
      <c r="E11" s="19">
        <v>127</v>
      </c>
      <c r="F11" s="14"/>
      <c r="G11" s="12"/>
      <c r="H11" s="12" t="s">
        <v>15</v>
      </c>
      <c r="I11" s="29"/>
      <c r="J11" s="29"/>
    </row>
    <row r="12" spans="1:10" x14ac:dyDescent="0.15">
      <c r="A12" s="12">
        <f>ROW(A8)-ROW(A$7)</f>
        <v>5</v>
      </c>
      <c r="B12" s="18" t="s">
        <v>439</v>
      </c>
      <c r="C12" s="18" t="s">
        <v>440</v>
      </c>
      <c r="D12" s="18" t="s">
        <v>75</v>
      </c>
      <c r="E12" s="19">
        <v>255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441</v>
      </c>
      <c r="C13" s="18" t="s">
        <v>442</v>
      </c>
      <c r="D13" s="18" t="s">
        <v>129</v>
      </c>
      <c r="E13" s="19">
        <v>50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443</v>
      </c>
      <c r="C14" s="18" t="s">
        <v>444</v>
      </c>
      <c r="D14" s="18" t="s">
        <v>445</v>
      </c>
      <c r="E14" s="19">
        <v>63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446</v>
      </c>
      <c r="C15" s="18" t="s">
        <v>447</v>
      </c>
      <c r="D15" s="18" t="s">
        <v>81</v>
      </c>
      <c r="E15" s="19">
        <v>10</v>
      </c>
      <c r="F15" s="14"/>
      <c r="G15" s="12"/>
      <c r="H15" s="12" t="s">
        <v>15</v>
      </c>
      <c r="I15" s="29"/>
      <c r="J15" s="29"/>
    </row>
    <row r="16" spans="1:10" x14ac:dyDescent="0.15">
      <c r="A16" s="12">
        <f>ROW(A8)-ROW(A$7)</f>
        <v>9</v>
      </c>
      <c r="B16" s="18" t="s">
        <v>401</v>
      </c>
      <c r="C16" s="18" t="s">
        <v>402</v>
      </c>
      <c r="D16" s="18" t="s">
        <v>81</v>
      </c>
      <c r="E16" s="19">
        <v>10</v>
      </c>
      <c r="F16" s="14"/>
      <c r="G16" s="12"/>
      <c r="H16" s="12" t="s">
        <v>15</v>
      </c>
      <c r="I16" s="29"/>
      <c r="J16" s="29"/>
    </row>
    <row r="17" spans="1:10" x14ac:dyDescent="0.15">
      <c r="A17" s="12">
        <f>ROW(A8)-ROW(A$7)</f>
        <v>10</v>
      </c>
      <c r="B17" s="18" t="s">
        <v>403</v>
      </c>
      <c r="C17" s="18" t="s">
        <v>404</v>
      </c>
      <c r="D17" s="18" t="s">
        <v>138</v>
      </c>
      <c r="E17" s="19">
        <v>3</v>
      </c>
      <c r="F17" s="14"/>
      <c r="G17" s="12"/>
      <c r="H17" s="12" t="s">
        <v>15</v>
      </c>
      <c r="I17" s="29"/>
      <c r="J17" s="29"/>
    </row>
    <row r="18" spans="1:10" x14ac:dyDescent="0.15">
      <c r="A18" s="12">
        <f>ROW(A8)-ROW(A$7)</f>
        <v>11</v>
      </c>
      <c r="B18" s="18" t="s">
        <v>255</v>
      </c>
      <c r="C18" s="18" t="s">
        <v>77</v>
      </c>
      <c r="D18" s="18" t="s">
        <v>75</v>
      </c>
      <c r="E18" s="19">
        <v>255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/>
      <c r="C19" s="18"/>
      <c r="D19" s="18"/>
      <c r="E19" s="19"/>
      <c r="F19" s="14"/>
      <c r="G19" s="12"/>
      <c r="H19" s="12"/>
      <c r="I19" s="29"/>
      <c r="J19" s="29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  <row r="23" spans="1:10" x14ac:dyDescent="0.15">
      <c r="A23" s="11" t="s">
        <v>0</v>
      </c>
      <c r="B23" s="11" t="s">
        <v>86</v>
      </c>
      <c r="C23" s="11" t="s">
        <v>87</v>
      </c>
      <c r="D23" s="11" t="s">
        <v>88</v>
      </c>
      <c r="E23" s="11" t="s">
        <v>89</v>
      </c>
      <c r="F23" s="11" t="s">
        <v>90</v>
      </c>
      <c r="G23" s="11" t="s">
        <v>91</v>
      </c>
      <c r="H23" s="11" t="s">
        <v>92</v>
      </c>
      <c r="I23" s="11" t="s">
        <v>93</v>
      </c>
      <c r="J23" s="11" t="s">
        <v>69</v>
      </c>
    </row>
    <row r="24" spans="1:10" x14ac:dyDescent="0.15">
      <c r="A24" s="12">
        <f>ROW(A17)-ROW(A$16)</f>
        <v>1</v>
      </c>
      <c r="B24" s="18"/>
      <c r="C24" s="18"/>
      <c r="D24" s="18"/>
      <c r="E24" s="18"/>
      <c r="F24" s="18"/>
      <c r="G24" s="18"/>
      <c r="H24" s="18"/>
      <c r="I24" s="20"/>
      <c r="J24" s="18"/>
    </row>
    <row r="25" spans="1:10" x14ac:dyDescent="0.15">
      <c r="A25" s="22" t="s">
        <v>6</v>
      </c>
      <c r="B25" s="22" t="s">
        <v>6</v>
      </c>
      <c r="C25" s="22" t="s">
        <v>6</v>
      </c>
      <c r="D25" s="13" t="s">
        <v>6</v>
      </c>
      <c r="E25" s="13" t="s">
        <v>6</v>
      </c>
      <c r="F25" s="13" t="s">
        <v>6</v>
      </c>
      <c r="G25" s="13" t="s">
        <v>6</v>
      </c>
      <c r="H25" s="13" t="s">
        <v>6</v>
      </c>
      <c r="I25" s="13" t="s">
        <v>6</v>
      </c>
      <c r="J25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workbookViewId="0"/>
  </sheetViews>
  <sheetFormatPr defaultRowHeight="13.5" x14ac:dyDescent="0.15"/>
  <cols>
    <col min="1" max="1" width="4.875" bestFit="1" customWidth="1"/>
    <col min="2" max="2" width="14.875" bestFit="1" customWidth="1"/>
    <col min="3" max="3" width="10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449</v>
      </c>
      <c r="C1" s="24" t="str">
        <f>INDEX(目录!D:D,MATCH(B1,目录!E:E,0))</f>
        <v>行业表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448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450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451</v>
      </c>
      <c r="C9" s="18" t="s">
        <v>452</v>
      </c>
      <c r="D9" s="18" t="s">
        <v>206</v>
      </c>
      <c r="E9" s="19">
        <v>32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453</v>
      </c>
      <c r="C10" s="18" t="s">
        <v>454</v>
      </c>
      <c r="D10" s="18" t="s">
        <v>206</v>
      </c>
      <c r="E10" s="19">
        <v>32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255</v>
      </c>
      <c r="C11" s="18" t="s">
        <v>77</v>
      </c>
      <c r="D11" s="18" t="s">
        <v>400</v>
      </c>
      <c r="E11" s="19">
        <v>1024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/>
      <c r="C12" s="18"/>
      <c r="D12" s="18"/>
      <c r="E12" s="19"/>
      <c r="F12" s="14"/>
      <c r="G12" s="12"/>
      <c r="H12" s="12"/>
      <c r="I12" s="29"/>
      <c r="J12" s="29"/>
    </row>
    <row r="13" spans="1:10" x14ac:dyDescent="0.15">
      <c r="A13" s="22" t="s">
        <v>6</v>
      </c>
      <c r="B13" s="22" t="s">
        <v>6</v>
      </c>
      <c r="C13" s="22" t="s">
        <v>6</v>
      </c>
      <c r="D13" s="13" t="s">
        <v>6</v>
      </c>
      <c r="E13" s="13" t="s">
        <v>6</v>
      </c>
      <c r="F13" s="13" t="s">
        <v>6</v>
      </c>
      <c r="G13" s="13" t="s">
        <v>6</v>
      </c>
      <c r="H13" s="13" t="s">
        <v>6</v>
      </c>
      <c r="I13" s="13" t="s">
        <v>6</v>
      </c>
      <c r="J13" s="13" t="s">
        <v>6</v>
      </c>
    </row>
    <row r="16" spans="1:10" x14ac:dyDescent="0.15">
      <c r="A16" s="11" t="s">
        <v>0</v>
      </c>
      <c r="B16" s="11" t="s">
        <v>86</v>
      </c>
      <c r="C16" s="11" t="s">
        <v>87</v>
      </c>
      <c r="D16" s="11" t="s">
        <v>88</v>
      </c>
      <c r="E16" s="11" t="s">
        <v>89</v>
      </c>
      <c r="F16" s="11" t="s">
        <v>90</v>
      </c>
      <c r="G16" s="11" t="s">
        <v>91</v>
      </c>
      <c r="H16" s="11" t="s">
        <v>92</v>
      </c>
      <c r="I16" s="11" t="s">
        <v>93</v>
      </c>
      <c r="J16" s="11" t="s">
        <v>69</v>
      </c>
    </row>
    <row r="17" spans="1:10" x14ac:dyDescent="0.15">
      <c r="A17" s="12">
        <f>ROW(A17)-ROW(A$16)</f>
        <v>1</v>
      </c>
      <c r="B17" s="18"/>
      <c r="C17" s="18"/>
      <c r="D17" s="18"/>
      <c r="E17" s="18"/>
      <c r="F17" s="18"/>
      <c r="G17" s="18"/>
      <c r="H17" s="18"/>
      <c r="I17" s="20"/>
      <c r="J17" s="18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3"/>
  <sheetViews>
    <sheetView workbookViewId="0"/>
  </sheetViews>
  <sheetFormatPr defaultRowHeight="13.5" x14ac:dyDescent="0.15"/>
  <cols>
    <col min="1" max="1" width="4.875" bestFit="1" customWidth="1"/>
    <col min="2" max="2" width="16.875" bestFit="1" customWidth="1"/>
    <col min="3" max="3" width="14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456</v>
      </c>
      <c r="C1" s="24" t="str">
        <f>INDEX(目录!D:D,MATCH(B1,目录!E:E,0))</f>
        <v>事件分类表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455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232</v>
      </c>
      <c r="C9" s="18" t="s">
        <v>457</v>
      </c>
      <c r="D9" s="18" t="s">
        <v>250</v>
      </c>
      <c r="E9" s="19">
        <v>256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275</v>
      </c>
      <c r="C10" s="18" t="s">
        <v>458</v>
      </c>
      <c r="D10" s="18" t="s">
        <v>218</v>
      </c>
      <c r="E10" s="19">
        <v>512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234</v>
      </c>
      <c r="C11" s="18" t="s">
        <v>459</v>
      </c>
      <c r="D11" s="18" t="s">
        <v>78</v>
      </c>
      <c r="E11" s="19">
        <v>65535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280</v>
      </c>
      <c r="C12" s="18" t="s">
        <v>460</v>
      </c>
      <c r="D12" s="18" t="s">
        <v>218</v>
      </c>
      <c r="E12" s="19">
        <v>512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189</v>
      </c>
      <c r="C13" s="18" t="s">
        <v>190</v>
      </c>
      <c r="D13" s="18" t="s">
        <v>81</v>
      </c>
      <c r="E13" s="19">
        <v>10</v>
      </c>
      <c r="F13" s="14"/>
      <c r="G13" s="12"/>
      <c r="H13" s="12"/>
      <c r="I13" s="29" t="s">
        <v>188</v>
      </c>
      <c r="J13" s="29"/>
    </row>
    <row r="14" spans="1:10" x14ac:dyDescent="0.15">
      <c r="A14" s="12">
        <f>ROW(A8)-ROW(A$7)</f>
        <v>7</v>
      </c>
      <c r="B14" s="18" t="s">
        <v>127</v>
      </c>
      <c r="C14" s="18" t="s">
        <v>461</v>
      </c>
      <c r="D14" s="18" t="s">
        <v>98</v>
      </c>
      <c r="E14" s="19">
        <v>36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462</v>
      </c>
      <c r="C15" s="18" t="s">
        <v>463</v>
      </c>
      <c r="D15" s="18" t="s">
        <v>98</v>
      </c>
      <c r="E15" s="19">
        <v>36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464</v>
      </c>
      <c r="C16" s="18" t="s">
        <v>465</v>
      </c>
      <c r="D16" s="18" t="s">
        <v>325</v>
      </c>
      <c r="E16" s="19">
        <v>64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466</v>
      </c>
      <c r="C17" s="18" t="s">
        <v>467</v>
      </c>
      <c r="D17" s="18" t="s">
        <v>98</v>
      </c>
      <c r="E17" s="19">
        <v>36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468</v>
      </c>
      <c r="C18" s="18" t="s">
        <v>469</v>
      </c>
      <c r="D18" s="18" t="s">
        <v>206</v>
      </c>
      <c r="E18" s="19">
        <v>32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470</v>
      </c>
      <c r="C19" s="18" t="s">
        <v>471</v>
      </c>
      <c r="D19" s="18" t="s">
        <v>179</v>
      </c>
      <c r="E19" s="19">
        <v>64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472</v>
      </c>
      <c r="C20" s="18" t="s">
        <v>473</v>
      </c>
      <c r="D20" s="18" t="s">
        <v>179</v>
      </c>
      <c r="E20" s="19">
        <v>64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139</v>
      </c>
      <c r="C21" s="18" t="s">
        <v>321</v>
      </c>
      <c r="D21" s="18" t="s">
        <v>72</v>
      </c>
      <c r="E21" s="19">
        <v>19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224</v>
      </c>
      <c r="C22" s="18" t="s">
        <v>474</v>
      </c>
      <c r="D22" s="18" t="s">
        <v>325</v>
      </c>
      <c r="E22" s="19">
        <v>64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475</v>
      </c>
      <c r="C23" s="18" t="s">
        <v>476</v>
      </c>
      <c r="D23" s="18" t="s">
        <v>72</v>
      </c>
      <c r="E23" s="19">
        <v>19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477</v>
      </c>
      <c r="C24" s="18" t="s">
        <v>478</v>
      </c>
      <c r="D24" s="18" t="s">
        <v>98</v>
      </c>
      <c r="E24" s="19">
        <v>36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479</v>
      </c>
      <c r="C25" s="18" t="s">
        <v>480</v>
      </c>
      <c r="D25" s="18" t="s">
        <v>325</v>
      </c>
      <c r="E25" s="19">
        <v>64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 t="s">
        <v>117</v>
      </c>
      <c r="C26" s="18" t="s">
        <v>324</v>
      </c>
      <c r="D26" s="18" t="s">
        <v>325</v>
      </c>
      <c r="E26" s="19">
        <v>64</v>
      </c>
      <c r="F26" s="14"/>
      <c r="G26" s="12"/>
      <c r="H26" s="12"/>
      <c r="I26" s="29"/>
      <c r="J26" s="29"/>
    </row>
    <row r="27" spans="1:10" x14ac:dyDescent="0.15">
      <c r="A27" s="12">
        <f>ROW(A8)-ROW(A$7)</f>
        <v>20</v>
      </c>
      <c r="B27" s="18"/>
      <c r="C27" s="18"/>
      <c r="D27" s="18"/>
      <c r="E27" s="19"/>
      <c r="F27" s="14"/>
      <c r="G27" s="12"/>
      <c r="H27" s="12"/>
      <c r="I27" s="29"/>
      <c r="J27" s="29"/>
    </row>
    <row r="28" spans="1:10" x14ac:dyDescent="0.15">
      <c r="A28" s="22" t="s">
        <v>6</v>
      </c>
      <c r="B28" s="22" t="s">
        <v>6</v>
      </c>
      <c r="C28" s="22" t="s">
        <v>6</v>
      </c>
      <c r="D28" s="13" t="s">
        <v>6</v>
      </c>
      <c r="E28" s="13" t="s">
        <v>6</v>
      </c>
      <c r="F28" s="13" t="s">
        <v>6</v>
      </c>
      <c r="G28" s="13" t="s">
        <v>6</v>
      </c>
      <c r="H28" s="13" t="s">
        <v>6</v>
      </c>
      <c r="I28" s="13" t="s">
        <v>6</v>
      </c>
      <c r="J28" s="13" t="s">
        <v>6</v>
      </c>
    </row>
    <row r="31" spans="1:10" x14ac:dyDescent="0.15">
      <c r="A31" s="11" t="s">
        <v>0</v>
      </c>
      <c r="B31" s="11" t="s">
        <v>86</v>
      </c>
      <c r="C31" s="11" t="s">
        <v>87</v>
      </c>
      <c r="D31" s="11" t="s">
        <v>88</v>
      </c>
      <c r="E31" s="11" t="s">
        <v>89</v>
      </c>
      <c r="F31" s="11" t="s">
        <v>90</v>
      </c>
      <c r="G31" s="11" t="s">
        <v>91</v>
      </c>
      <c r="H31" s="11" t="s">
        <v>92</v>
      </c>
      <c r="I31" s="11" t="s">
        <v>93</v>
      </c>
      <c r="J31" s="11" t="s">
        <v>69</v>
      </c>
    </row>
    <row r="32" spans="1:10" x14ac:dyDescent="0.15">
      <c r="A32" s="12">
        <f>ROW(A17)-ROW(A$16)</f>
        <v>1</v>
      </c>
      <c r="B32" s="18"/>
      <c r="C32" s="18"/>
      <c r="D32" s="18"/>
      <c r="E32" s="18"/>
      <c r="F32" s="18"/>
      <c r="G32" s="18"/>
      <c r="H32" s="18"/>
      <c r="I32" s="20"/>
      <c r="J32" s="18"/>
    </row>
    <row r="33" spans="1:10" x14ac:dyDescent="0.15">
      <c r="A33" s="22" t="s">
        <v>6</v>
      </c>
      <c r="B33" s="22" t="s">
        <v>6</v>
      </c>
      <c r="C33" s="22" t="s">
        <v>6</v>
      </c>
      <c r="D33" s="13" t="s">
        <v>6</v>
      </c>
      <c r="E33" s="13" t="s">
        <v>6</v>
      </c>
      <c r="F33" s="13" t="s">
        <v>6</v>
      </c>
      <c r="G33" s="13" t="s">
        <v>6</v>
      </c>
      <c r="H33" s="13" t="s">
        <v>6</v>
      </c>
      <c r="I33" s="13" t="s">
        <v>6</v>
      </c>
      <c r="J33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6"/>
  <sheetViews>
    <sheetView workbookViewId="0"/>
  </sheetViews>
  <sheetFormatPr defaultRowHeight="13.5" x14ac:dyDescent="0.15"/>
  <cols>
    <col min="1" max="1" width="4.875" bestFit="1" customWidth="1"/>
    <col min="2" max="2" width="14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482</v>
      </c>
      <c r="C1" s="24" t="str">
        <f>INDEX(目录!D:D,MATCH(B1,目录!E:E,0))</f>
        <v>建议反馈表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481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393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236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328</v>
      </c>
      <c r="C10" s="18" t="s">
        <v>324</v>
      </c>
      <c r="D10" s="18" t="s">
        <v>81</v>
      </c>
      <c r="E10" s="19">
        <v>10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453</v>
      </c>
      <c r="C11" s="18" t="s">
        <v>483</v>
      </c>
      <c r="D11" s="18" t="s">
        <v>179</v>
      </c>
      <c r="E11" s="19">
        <v>64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239</v>
      </c>
      <c r="C12" s="18" t="s">
        <v>484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485</v>
      </c>
      <c r="C13" s="18" t="s">
        <v>486</v>
      </c>
      <c r="D13" s="18" t="s">
        <v>179</v>
      </c>
      <c r="E13" s="19">
        <v>64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487</v>
      </c>
      <c r="C14" s="18" t="s">
        <v>488</v>
      </c>
      <c r="D14" s="18" t="s">
        <v>78</v>
      </c>
      <c r="E14" s="19">
        <v>65535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139</v>
      </c>
      <c r="C15" s="18" t="s">
        <v>489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490</v>
      </c>
      <c r="C16" s="18" t="s">
        <v>490</v>
      </c>
      <c r="D16" s="18" t="s">
        <v>72</v>
      </c>
      <c r="E16" s="19">
        <v>19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491</v>
      </c>
      <c r="C17" s="18" t="s">
        <v>492</v>
      </c>
      <c r="D17" s="18" t="s">
        <v>72</v>
      </c>
      <c r="E17" s="19">
        <v>19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493</v>
      </c>
      <c r="C18" s="18" t="s">
        <v>494</v>
      </c>
      <c r="D18" s="18" t="s">
        <v>166</v>
      </c>
      <c r="E18" s="19">
        <v>128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495</v>
      </c>
      <c r="C19" s="18" t="s">
        <v>496</v>
      </c>
      <c r="D19" s="18" t="s">
        <v>72</v>
      </c>
      <c r="E19" s="19">
        <v>19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/>
      <c r="C20" s="18"/>
      <c r="D20" s="18"/>
      <c r="E20" s="19"/>
      <c r="F20" s="14"/>
      <c r="G20" s="12"/>
      <c r="H20" s="12"/>
      <c r="I20" s="29"/>
      <c r="J20" s="29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  <row r="24" spans="1:10" x14ac:dyDescent="0.15">
      <c r="A24" s="11" t="s">
        <v>0</v>
      </c>
      <c r="B24" s="11" t="s">
        <v>86</v>
      </c>
      <c r="C24" s="11" t="s">
        <v>87</v>
      </c>
      <c r="D24" s="11" t="s">
        <v>88</v>
      </c>
      <c r="E24" s="11" t="s">
        <v>89</v>
      </c>
      <c r="F24" s="11" t="s">
        <v>90</v>
      </c>
      <c r="G24" s="11" t="s">
        <v>91</v>
      </c>
      <c r="H24" s="11" t="s">
        <v>92</v>
      </c>
      <c r="I24" s="11" t="s">
        <v>93</v>
      </c>
      <c r="J24" s="11" t="s">
        <v>69</v>
      </c>
    </row>
    <row r="25" spans="1:10" x14ac:dyDescent="0.15">
      <c r="A25" s="12">
        <f>ROW(A17)-ROW(A$16)</f>
        <v>1</v>
      </c>
      <c r="B25" s="18"/>
      <c r="C25" s="18"/>
      <c r="D25" s="18"/>
      <c r="E25" s="18"/>
      <c r="F25" s="18"/>
      <c r="G25" s="18"/>
      <c r="H25" s="18"/>
      <c r="I25" s="20"/>
      <c r="J25" s="18"/>
    </row>
    <row r="26" spans="1:10" x14ac:dyDescent="0.15">
      <c r="A26" s="22" t="s">
        <v>6</v>
      </c>
      <c r="B26" s="22" t="s">
        <v>6</v>
      </c>
      <c r="C26" s="22" t="s">
        <v>6</v>
      </c>
      <c r="D26" s="13" t="s">
        <v>6</v>
      </c>
      <c r="E26" s="13" t="s">
        <v>6</v>
      </c>
      <c r="F26" s="13" t="s">
        <v>6</v>
      </c>
      <c r="G26" s="13" t="s">
        <v>6</v>
      </c>
      <c r="H26" s="13" t="s">
        <v>6</v>
      </c>
      <c r="I26" s="13" t="s">
        <v>6</v>
      </c>
      <c r="J26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27.875" bestFit="1" customWidth="1"/>
    <col min="3" max="3" width="13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497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144</v>
      </c>
      <c r="D9" s="18" t="s">
        <v>106</v>
      </c>
      <c r="E9" s="19">
        <v>100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117</v>
      </c>
      <c r="C10" s="18" t="s">
        <v>117</v>
      </c>
      <c r="D10" s="18" t="s">
        <v>129</v>
      </c>
      <c r="E10" s="19">
        <v>50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220</v>
      </c>
      <c r="C11" s="18" t="s">
        <v>220</v>
      </c>
      <c r="D11" s="18" t="s">
        <v>138</v>
      </c>
      <c r="E11" s="19">
        <v>3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498</v>
      </c>
      <c r="C12" s="18" t="s">
        <v>498</v>
      </c>
      <c r="D12" s="18" t="s">
        <v>138</v>
      </c>
      <c r="E12" s="19">
        <v>3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/>
      <c r="C13" s="18"/>
      <c r="D13" s="18"/>
      <c r="E13" s="19"/>
      <c r="F13" s="14"/>
      <c r="G13" s="12"/>
      <c r="H13" s="12"/>
      <c r="I13" s="29"/>
      <c r="J13" s="29"/>
    </row>
    <row r="14" spans="1:10" x14ac:dyDescent="0.15">
      <c r="A14" s="22" t="s">
        <v>6</v>
      </c>
      <c r="B14" s="22" t="s">
        <v>6</v>
      </c>
      <c r="C14" s="22" t="s">
        <v>6</v>
      </c>
      <c r="D14" s="13" t="s">
        <v>6</v>
      </c>
      <c r="E14" s="13" t="s">
        <v>6</v>
      </c>
      <c r="F14" s="13" t="s">
        <v>6</v>
      </c>
      <c r="G14" s="13" t="s">
        <v>6</v>
      </c>
      <c r="H14" s="13" t="s">
        <v>6</v>
      </c>
      <c r="I14" s="13" t="s">
        <v>6</v>
      </c>
      <c r="J14" s="13" t="s">
        <v>6</v>
      </c>
    </row>
    <row r="17" spans="1:10" x14ac:dyDescent="0.15">
      <c r="A17" s="11" t="s">
        <v>0</v>
      </c>
      <c r="B17" s="11" t="s">
        <v>86</v>
      </c>
      <c r="C17" s="11" t="s">
        <v>87</v>
      </c>
      <c r="D17" s="11" t="s">
        <v>88</v>
      </c>
      <c r="E17" s="11" t="s">
        <v>89</v>
      </c>
      <c r="F17" s="11" t="s">
        <v>90</v>
      </c>
      <c r="G17" s="11" t="s">
        <v>91</v>
      </c>
      <c r="H17" s="11" t="s">
        <v>92</v>
      </c>
      <c r="I17" s="11" t="s">
        <v>93</v>
      </c>
      <c r="J17" s="11" t="s">
        <v>69</v>
      </c>
    </row>
    <row r="18" spans="1:10" x14ac:dyDescent="0.15">
      <c r="A18" s="12">
        <f>ROW(A17)-ROW(A$16)</f>
        <v>1</v>
      </c>
      <c r="B18" s="18" t="s">
        <v>499</v>
      </c>
      <c r="C18" s="18" t="s">
        <v>498</v>
      </c>
      <c r="D18" s="18"/>
      <c r="E18" s="18"/>
      <c r="F18" s="18"/>
      <c r="G18" s="18"/>
      <c r="H18" s="18"/>
      <c r="I18" s="20" t="s">
        <v>95</v>
      </c>
      <c r="J18" s="18" t="s">
        <v>96</v>
      </c>
    </row>
    <row r="19" spans="1:10" x14ac:dyDescent="0.15">
      <c r="A19" s="12">
        <f>ROW(A17)-ROW(A$16)</f>
        <v>2</v>
      </c>
      <c r="B19" s="18" t="s">
        <v>500</v>
      </c>
      <c r="C19" s="18" t="s">
        <v>220</v>
      </c>
      <c r="D19" s="18"/>
      <c r="E19" s="18"/>
      <c r="F19" s="18"/>
      <c r="G19" s="18"/>
      <c r="H19" s="18"/>
      <c r="I19" s="20" t="s">
        <v>95</v>
      </c>
      <c r="J19" s="18" t="s">
        <v>96</v>
      </c>
    </row>
    <row r="20" spans="1:10" x14ac:dyDescent="0.15">
      <c r="A20" s="12">
        <f>ROW(A17)-ROW(A$16)</f>
        <v>3</v>
      </c>
      <c r="B20" s="18" t="s">
        <v>501</v>
      </c>
      <c r="C20" s="18" t="s">
        <v>117</v>
      </c>
      <c r="D20" s="18"/>
      <c r="E20" s="18"/>
      <c r="F20" s="18"/>
      <c r="G20" s="18"/>
      <c r="H20" s="18"/>
      <c r="I20" s="20" t="s">
        <v>95</v>
      </c>
      <c r="J20" s="18" t="s">
        <v>96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/>
  </sheetViews>
  <sheetFormatPr defaultRowHeight="13.5" x14ac:dyDescent="0.15"/>
  <cols>
    <col min="1" max="1" width="4.875" bestFit="1" customWidth="1"/>
    <col min="2" max="2" width="36.875" bestFit="1" customWidth="1"/>
    <col min="3" max="3" width="15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502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385</v>
      </c>
      <c r="C9" s="18" t="s">
        <v>385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383</v>
      </c>
      <c r="C10" s="18" t="s">
        <v>383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127</v>
      </c>
      <c r="C11" s="18" t="s">
        <v>127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503</v>
      </c>
      <c r="C12" s="18" t="s">
        <v>503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504</v>
      </c>
      <c r="C13" s="18" t="s">
        <v>504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 t="s">
        <v>505</v>
      </c>
      <c r="C19" s="18" t="s">
        <v>504</v>
      </c>
      <c r="D19" s="18"/>
      <c r="E19" s="18"/>
      <c r="F19" s="18"/>
      <c r="G19" s="18"/>
      <c r="H19" s="18"/>
      <c r="I19" s="20" t="s">
        <v>95</v>
      </c>
      <c r="J19" s="18" t="s">
        <v>96</v>
      </c>
    </row>
    <row r="20" spans="1:10" x14ac:dyDescent="0.15">
      <c r="A20" s="12">
        <f>ROW(A17)-ROW(A$16)</f>
        <v>2</v>
      </c>
      <c r="B20" s="18" t="s">
        <v>506</v>
      </c>
      <c r="C20" s="18" t="s">
        <v>385</v>
      </c>
      <c r="D20" s="18"/>
      <c r="E20" s="18"/>
      <c r="F20" s="18"/>
      <c r="G20" s="18"/>
      <c r="H20" s="18"/>
      <c r="I20" s="20" t="s">
        <v>95</v>
      </c>
      <c r="J20" s="18" t="s">
        <v>96</v>
      </c>
    </row>
    <row r="21" spans="1:10" x14ac:dyDescent="0.15">
      <c r="A21" s="12">
        <f>ROW(A17)-ROW(A$16)</f>
        <v>3</v>
      </c>
      <c r="B21" s="18" t="s">
        <v>507</v>
      </c>
      <c r="C21" s="18" t="s">
        <v>383</v>
      </c>
      <c r="D21" s="18"/>
      <c r="E21" s="18"/>
      <c r="F21" s="18"/>
      <c r="G21" s="18"/>
      <c r="H21" s="18"/>
      <c r="I21" s="20" t="s">
        <v>95</v>
      </c>
      <c r="J21" s="18" t="s">
        <v>96</v>
      </c>
    </row>
    <row r="22" spans="1:10" x14ac:dyDescent="0.15">
      <c r="A22" s="12">
        <f>ROW(A17)-ROW(A$16)</f>
        <v>4</v>
      </c>
      <c r="B22" s="18" t="s">
        <v>508</v>
      </c>
      <c r="C22" s="18" t="s">
        <v>503</v>
      </c>
      <c r="D22" s="18"/>
      <c r="E22" s="18"/>
      <c r="F22" s="18"/>
      <c r="G22" s="18"/>
      <c r="H22" s="18"/>
      <c r="I22" s="20" t="s">
        <v>95</v>
      </c>
      <c r="J22" s="18" t="s">
        <v>96</v>
      </c>
    </row>
    <row r="23" spans="1:10" x14ac:dyDescent="0.15">
      <c r="A23" s="12">
        <f>ROW(A17)-ROW(A$16)</f>
        <v>5</v>
      </c>
      <c r="B23" s="18" t="s">
        <v>509</v>
      </c>
      <c r="C23" s="18" t="s">
        <v>127</v>
      </c>
      <c r="D23" s="18"/>
      <c r="E23" s="18"/>
      <c r="F23" s="18"/>
      <c r="G23" s="18"/>
      <c r="H23" s="18"/>
      <c r="I23" s="20" t="s">
        <v>95</v>
      </c>
      <c r="J23" s="18" t="s">
        <v>96</v>
      </c>
    </row>
    <row r="24" spans="1:10" x14ac:dyDescent="0.15">
      <c r="A24" s="12">
        <f>ROW(A17)-ROW(A$16)</f>
        <v>1</v>
      </c>
      <c r="B24" s="18"/>
      <c r="C24" s="18"/>
      <c r="D24" s="18"/>
      <c r="E24" s="18"/>
      <c r="F24" s="18"/>
      <c r="G24" s="18"/>
      <c r="H24" s="18"/>
      <c r="I24" s="20"/>
      <c r="J24" s="18"/>
    </row>
    <row r="25" spans="1:10" x14ac:dyDescent="0.15">
      <c r="A25" s="22" t="s">
        <v>6</v>
      </c>
      <c r="B25" s="22" t="s">
        <v>6</v>
      </c>
      <c r="C25" s="22" t="s">
        <v>6</v>
      </c>
      <c r="D25" s="13" t="s">
        <v>6</v>
      </c>
      <c r="E25" s="13" t="s">
        <v>6</v>
      </c>
      <c r="F25" s="13" t="s">
        <v>6</v>
      </c>
      <c r="G25" s="13" t="s">
        <v>6</v>
      </c>
      <c r="H25" s="13" t="s">
        <v>6</v>
      </c>
      <c r="I25" s="13" t="s">
        <v>6</v>
      </c>
      <c r="J25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/>
  </sheetViews>
  <sheetFormatPr defaultRowHeight="13.5" x14ac:dyDescent="0.15"/>
  <cols>
    <col min="1" max="1" width="4.875" bestFit="1" customWidth="1"/>
    <col min="2" max="2" width="29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510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144</v>
      </c>
      <c r="D9" s="18" t="s">
        <v>106</v>
      </c>
      <c r="E9" s="19">
        <v>100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82</v>
      </c>
      <c r="C10" s="18" t="s">
        <v>82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208</v>
      </c>
      <c r="C11" s="18" t="s">
        <v>208</v>
      </c>
      <c r="D11" s="18" t="s">
        <v>109</v>
      </c>
      <c r="E11" s="19">
        <v>200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511</v>
      </c>
      <c r="C12" s="18" t="s">
        <v>511</v>
      </c>
      <c r="D12" s="18" t="s">
        <v>109</v>
      </c>
      <c r="E12" s="19">
        <v>200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512</v>
      </c>
      <c r="C13" s="18" t="s">
        <v>512</v>
      </c>
      <c r="D13" s="18" t="s">
        <v>81</v>
      </c>
      <c r="E13" s="19">
        <v>10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220</v>
      </c>
      <c r="C14" s="18" t="s">
        <v>220</v>
      </c>
      <c r="D14" s="18" t="s">
        <v>138</v>
      </c>
      <c r="E14" s="19">
        <v>3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 t="s">
        <v>513</v>
      </c>
      <c r="C20" s="18" t="s">
        <v>144</v>
      </c>
      <c r="D20" s="18"/>
      <c r="E20" s="18"/>
      <c r="F20" s="18"/>
      <c r="G20" s="18"/>
      <c r="H20" s="18"/>
      <c r="I20" s="20" t="s">
        <v>95</v>
      </c>
      <c r="J20" s="18" t="s">
        <v>96</v>
      </c>
    </row>
    <row r="21" spans="1:10" x14ac:dyDescent="0.15">
      <c r="A21" s="12">
        <f>ROW(A17)-ROW(A$16)</f>
        <v>2</v>
      </c>
      <c r="B21" s="18" t="s">
        <v>514</v>
      </c>
      <c r="C21" s="18" t="s">
        <v>82</v>
      </c>
      <c r="D21" s="18"/>
      <c r="E21" s="18"/>
      <c r="F21" s="18"/>
      <c r="G21" s="18"/>
      <c r="H21" s="18"/>
      <c r="I21" s="20" t="s">
        <v>95</v>
      </c>
      <c r="J21" s="18" t="s">
        <v>96</v>
      </c>
    </row>
    <row r="22" spans="1:10" x14ac:dyDescent="0.15">
      <c r="A22" s="12">
        <f>ROW(A17)-ROW(A$16)</f>
        <v>3</v>
      </c>
      <c r="B22" s="18" t="s">
        <v>515</v>
      </c>
      <c r="C22" s="18" t="s">
        <v>208</v>
      </c>
      <c r="D22" s="18" t="s">
        <v>512</v>
      </c>
      <c r="E22" s="18"/>
      <c r="F22" s="18"/>
      <c r="G22" s="18"/>
      <c r="H22" s="18"/>
      <c r="I22" s="20" t="s">
        <v>95</v>
      </c>
      <c r="J22" s="18" t="s">
        <v>96</v>
      </c>
    </row>
    <row r="23" spans="1:10" x14ac:dyDescent="0.15">
      <c r="A23" s="12">
        <f>ROW(A17)-ROW(A$16)</f>
        <v>1</v>
      </c>
      <c r="B23" s="18"/>
      <c r="C23" s="18"/>
      <c r="D23" s="18"/>
      <c r="E23" s="18"/>
      <c r="F23" s="18"/>
      <c r="G23" s="18"/>
      <c r="H23" s="18"/>
      <c r="I23" s="20"/>
      <c r="J23" s="18"/>
    </row>
    <row r="24" spans="1:10" x14ac:dyDescent="0.15">
      <c r="A24" s="22" t="s">
        <v>6</v>
      </c>
      <c r="B24" s="22" t="s">
        <v>6</v>
      </c>
      <c r="C24" s="22" t="s">
        <v>6</v>
      </c>
      <c r="D24" s="13" t="s">
        <v>6</v>
      </c>
      <c r="E24" s="13" t="s">
        <v>6</v>
      </c>
      <c r="F24" s="13" t="s">
        <v>6</v>
      </c>
      <c r="G24" s="13" t="s">
        <v>6</v>
      </c>
      <c r="H24" s="13" t="s">
        <v>6</v>
      </c>
      <c r="I24" s="13" t="s">
        <v>6</v>
      </c>
      <c r="J24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1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516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336</v>
      </c>
      <c r="E8" s="19">
        <v>10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117</v>
      </c>
      <c r="C9" s="18" t="s">
        <v>117</v>
      </c>
      <c r="D9" s="18" t="s">
        <v>345</v>
      </c>
      <c r="E9" s="19">
        <v>10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127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517</v>
      </c>
      <c r="C11" s="18" t="s">
        <v>517</v>
      </c>
      <c r="D11" s="18" t="s">
        <v>330</v>
      </c>
      <c r="E11" s="19">
        <v>31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518</v>
      </c>
      <c r="C12" s="18" t="s">
        <v>518</v>
      </c>
      <c r="D12" s="18" t="s">
        <v>519</v>
      </c>
      <c r="E12" s="19">
        <v>2047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520</v>
      </c>
      <c r="C13" s="18" t="s">
        <v>520</v>
      </c>
      <c r="D13" s="18" t="s">
        <v>519</v>
      </c>
      <c r="E13" s="19">
        <v>2047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243</v>
      </c>
      <c r="C14" s="18" t="s">
        <v>243</v>
      </c>
      <c r="D14" s="18" t="s">
        <v>330</v>
      </c>
      <c r="E14" s="19">
        <v>31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139</v>
      </c>
      <c r="C15" s="18" t="s">
        <v>139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7"/>
  <sheetViews>
    <sheetView workbookViewId="0"/>
  </sheetViews>
  <sheetFormatPr defaultRowHeight="13.5" x14ac:dyDescent="0.15"/>
  <cols>
    <col min="1" max="1" width="4.875" bestFit="1" customWidth="1"/>
    <col min="2" max="2" width="38.875" bestFit="1" customWidth="1"/>
    <col min="3" max="3" width="22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522</v>
      </c>
      <c r="C1" s="24" t="str">
        <f>INDEX(目录!D:D,MATCH(B1,目录!E:E,0))</f>
        <v>组织机构表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521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523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524</v>
      </c>
      <c r="D9" s="18" t="s">
        <v>106</v>
      </c>
      <c r="E9" s="19">
        <v>100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117</v>
      </c>
      <c r="C10" s="18" t="s">
        <v>324</v>
      </c>
      <c r="D10" s="18" t="s">
        <v>366</v>
      </c>
      <c r="E10" s="19">
        <v>20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82</v>
      </c>
      <c r="C11" s="18" t="s">
        <v>207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208</v>
      </c>
      <c r="C12" s="18" t="s">
        <v>427</v>
      </c>
      <c r="D12" s="18" t="s">
        <v>109</v>
      </c>
      <c r="E12" s="19">
        <v>200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511</v>
      </c>
      <c r="C13" s="18" t="s">
        <v>525</v>
      </c>
      <c r="D13" s="18" t="s">
        <v>109</v>
      </c>
      <c r="E13" s="19">
        <v>200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322</v>
      </c>
      <c r="C14" s="18" t="s">
        <v>526</v>
      </c>
      <c r="D14" s="18" t="s">
        <v>81</v>
      </c>
      <c r="E14" s="19">
        <v>10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512</v>
      </c>
      <c r="C15" s="18" t="s">
        <v>527</v>
      </c>
      <c r="D15" s="18" t="s">
        <v>81</v>
      </c>
      <c r="E15" s="19">
        <v>10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220</v>
      </c>
      <c r="C16" s="18" t="s">
        <v>221</v>
      </c>
      <c r="D16" s="18" t="s">
        <v>138</v>
      </c>
      <c r="E16" s="19">
        <v>3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528</v>
      </c>
      <c r="C17" s="18" t="s">
        <v>529</v>
      </c>
      <c r="D17" s="18" t="s">
        <v>179</v>
      </c>
      <c r="E17" s="19">
        <v>64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466</v>
      </c>
      <c r="C18" s="18" t="s">
        <v>530</v>
      </c>
      <c r="D18" s="18" t="s">
        <v>206</v>
      </c>
      <c r="E18" s="19">
        <v>32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468</v>
      </c>
      <c r="C19" s="18" t="s">
        <v>531</v>
      </c>
      <c r="D19" s="18" t="s">
        <v>206</v>
      </c>
      <c r="E19" s="19">
        <v>32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470</v>
      </c>
      <c r="C20" s="18" t="s">
        <v>532</v>
      </c>
      <c r="D20" s="18" t="s">
        <v>206</v>
      </c>
      <c r="E20" s="19">
        <v>32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533</v>
      </c>
      <c r="C21" s="18" t="s">
        <v>534</v>
      </c>
      <c r="D21" s="18" t="s">
        <v>166</v>
      </c>
      <c r="E21" s="19">
        <v>128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535</v>
      </c>
      <c r="C22" s="18" t="s">
        <v>536</v>
      </c>
      <c r="D22" s="18" t="s">
        <v>179</v>
      </c>
      <c r="E22" s="19">
        <v>64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537</v>
      </c>
      <c r="C23" s="18" t="s">
        <v>538</v>
      </c>
      <c r="D23" s="18" t="s">
        <v>325</v>
      </c>
      <c r="E23" s="19">
        <v>64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255</v>
      </c>
      <c r="C24" s="18" t="s">
        <v>539</v>
      </c>
      <c r="D24" s="18" t="s">
        <v>540</v>
      </c>
      <c r="E24" s="19">
        <v>4000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541</v>
      </c>
      <c r="C25" s="18" t="s">
        <v>542</v>
      </c>
      <c r="D25" s="18" t="s">
        <v>138</v>
      </c>
      <c r="E25" s="19">
        <v>3</v>
      </c>
      <c r="F25" s="14"/>
      <c r="G25" s="12"/>
      <c r="H25" s="12"/>
      <c r="I25" s="29" t="s">
        <v>188</v>
      </c>
      <c r="J25" s="29"/>
    </row>
    <row r="26" spans="1:10" x14ac:dyDescent="0.15">
      <c r="A26" s="12">
        <f>ROW(A8)-ROW(A$7)</f>
        <v>19</v>
      </c>
      <c r="B26" s="18" t="s">
        <v>543</v>
      </c>
      <c r="C26" s="18" t="s">
        <v>544</v>
      </c>
      <c r="D26" s="18" t="s">
        <v>138</v>
      </c>
      <c r="E26" s="19">
        <v>3</v>
      </c>
      <c r="F26" s="14"/>
      <c r="G26" s="12"/>
      <c r="H26" s="12"/>
      <c r="I26" s="29" t="s">
        <v>188</v>
      </c>
      <c r="J26" s="29"/>
    </row>
    <row r="27" spans="1:10" x14ac:dyDescent="0.15">
      <c r="A27" s="12">
        <f>ROW(A8)-ROW(A$7)</f>
        <v>20</v>
      </c>
      <c r="B27" s="18" t="s">
        <v>545</v>
      </c>
      <c r="C27" s="18" t="s">
        <v>546</v>
      </c>
      <c r="D27" s="18" t="s">
        <v>81</v>
      </c>
      <c r="E27" s="19">
        <v>10</v>
      </c>
      <c r="F27" s="14"/>
      <c r="G27" s="12"/>
      <c r="H27" s="12"/>
      <c r="I27" s="29" t="s">
        <v>188</v>
      </c>
      <c r="J27" s="29"/>
    </row>
    <row r="28" spans="1:10" x14ac:dyDescent="0.15">
      <c r="A28" s="12">
        <f>ROW(A8)-ROW(A$7)</f>
        <v>21</v>
      </c>
      <c r="B28" s="18" t="s">
        <v>547</v>
      </c>
      <c r="C28" s="18" t="s">
        <v>548</v>
      </c>
      <c r="D28" s="18" t="s">
        <v>81</v>
      </c>
      <c r="E28" s="19">
        <v>10</v>
      </c>
      <c r="F28" s="14"/>
      <c r="G28" s="12"/>
      <c r="H28" s="12"/>
      <c r="I28" s="29" t="s">
        <v>188</v>
      </c>
      <c r="J28" s="29"/>
    </row>
    <row r="29" spans="1:10" x14ac:dyDescent="0.15">
      <c r="A29" s="12">
        <f>ROW(A8)-ROW(A$7)</f>
        <v>22</v>
      </c>
      <c r="B29" s="18" t="s">
        <v>549</v>
      </c>
      <c r="C29" s="18" t="s">
        <v>550</v>
      </c>
      <c r="D29" s="18" t="s">
        <v>81</v>
      </c>
      <c r="E29" s="19">
        <v>10</v>
      </c>
      <c r="F29" s="14"/>
      <c r="G29" s="12"/>
      <c r="H29" s="12"/>
      <c r="I29" s="29" t="s">
        <v>188</v>
      </c>
      <c r="J29" s="29"/>
    </row>
    <row r="30" spans="1:10" x14ac:dyDescent="0.15">
      <c r="A30" s="12">
        <f>ROW(A8)-ROW(A$7)</f>
        <v>23</v>
      </c>
      <c r="B30" s="18" t="s">
        <v>551</v>
      </c>
      <c r="C30" s="18" t="s">
        <v>552</v>
      </c>
      <c r="D30" s="18" t="s">
        <v>81</v>
      </c>
      <c r="E30" s="19">
        <v>10</v>
      </c>
      <c r="F30" s="14"/>
      <c r="G30" s="12"/>
      <c r="H30" s="12"/>
      <c r="I30" s="29" t="s">
        <v>188</v>
      </c>
      <c r="J30" s="29"/>
    </row>
    <row r="31" spans="1:10" x14ac:dyDescent="0.15">
      <c r="A31" s="12">
        <f>ROW(A8)-ROW(A$7)</f>
        <v>24</v>
      </c>
      <c r="B31" s="18" t="s">
        <v>553</v>
      </c>
      <c r="C31" s="18" t="s">
        <v>554</v>
      </c>
      <c r="D31" s="18" t="s">
        <v>81</v>
      </c>
      <c r="E31" s="19">
        <v>10</v>
      </c>
      <c r="F31" s="14"/>
      <c r="G31" s="12"/>
      <c r="H31" s="12"/>
      <c r="I31" s="29" t="s">
        <v>188</v>
      </c>
      <c r="J31" s="29"/>
    </row>
    <row r="32" spans="1:10" x14ac:dyDescent="0.15">
      <c r="A32" s="12">
        <f>ROW(A8)-ROW(A$7)</f>
        <v>25</v>
      </c>
      <c r="B32" s="18" t="s">
        <v>555</v>
      </c>
      <c r="C32" s="18" t="s">
        <v>556</v>
      </c>
      <c r="D32" s="18" t="s">
        <v>81</v>
      </c>
      <c r="E32" s="19">
        <v>10</v>
      </c>
      <c r="F32" s="14"/>
      <c r="G32" s="12"/>
      <c r="H32" s="12"/>
      <c r="I32" s="29" t="s">
        <v>188</v>
      </c>
      <c r="J32" s="29"/>
    </row>
    <row r="33" spans="1:10" x14ac:dyDescent="0.15">
      <c r="A33" s="12">
        <f>ROW(A8)-ROW(A$7)</f>
        <v>26</v>
      </c>
      <c r="B33" s="18" t="s">
        <v>557</v>
      </c>
      <c r="C33" s="18" t="s">
        <v>558</v>
      </c>
      <c r="D33" s="18" t="s">
        <v>559</v>
      </c>
      <c r="E33" s="19">
        <v>12</v>
      </c>
      <c r="F33" s="14"/>
      <c r="G33" s="12"/>
      <c r="H33" s="12"/>
      <c r="I33" s="29" t="s">
        <v>188</v>
      </c>
      <c r="J33" s="29"/>
    </row>
    <row r="34" spans="1:10" x14ac:dyDescent="0.15">
      <c r="A34" s="12">
        <f>ROW(A8)-ROW(A$7)</f>
        <v>27</v>
      </c>
      <c r="B34" s="18" t="s">
        <v>560</v>
      </c>
      <c r="C34" s="18" t="s">
        <v>561</v>
      </c>
      <c r="D34" s="18" t="s">
        <v>559</v>
      </c>
      <c r="E34" s="19">
        <v>12</v>
      </c>
      <c r="F34" s="14"/>
      <c r="G34" s="12"/>
      <c r="H34" s="12"/>
      <c r="I34" s="29" t="s">
        <v>188</v>
      </c>
      <c r="J34" s="29"/>
    </row>
    <row r="35" spans="1:10" x14ac:dyDescent="0.15">
      <c r="A35" s="12">
        <f>ROW(A8)-ROW(A$7)</f>
        <v>28</v>
      </c>
      <c r="B35" s="18" t="s">
        <v>562</v>
      </c>
      <c r="C35" s="18" t="s">
        <v>563</v>
      </c>
      <c r="D35" s="18" t="s">
        <v>559</v>
      </c>
      <c r="E35" s="19">
        <v>12</v>
      </c>
      <c r="F35" s="14"/>
      <c r="G35" s="12"/>
      <c r="H35" s="12"/>
      <c r="I35" s="29" t="s">
        <v>188</v>
      </c>
      <c r="J35" s="29"/>
    </row>
    <row r="36" spans="1:10" x14ac:dyDescent="0.15">
      <c r="A36" s="12">
        <f>ROW(A8)-ROW(A$7)</f>
        <v>29</v>
      </c>
      <c r="B36" s="18" t="s">
        <v>564</v>
      </c>
      <c r="C36" s="18" t="s">
        <v>565</v>
      </c>
      <c r="D36" s="18" t="s">
        <v>138</v>
      </c>
      <c r="E36" s="19">
        <v>3</v>
      </c>
      <c r="F36" s="14"/>
      <c r="G36" s="12"/>
      <c r="H36" s="12"/>
      <c r="I36" s="29"/>
      <c r="J36" s="29"/>
    </row>
    <row r="37" spans="1:10" x14ac:dyDescent="0.15">
      <c r="A37" s="12">
        <f>ROW(A8)-ROW(A$7)</f>
        <v>30</v>
      </c>
      <c r="B37" s="18"/>
      <c r="C37" s="18"/>
      <c r="D37" s="18"/>
      <c r="E37" s="19"/>
      <c r="F37" s="14"/>
      <c r="G37" s="12"/>
      <c r="H37" s="12"/>
      <c r="I37" s="29"/>
      <c r="J37" s="29"/>
    </row>
    <row r="38" spans="1:10" x14ac:dyDescent="0.15">
      <c r="A38" s="22" t="s">
        <v>6</v>
      </c>
      <c r="B38" s="22" t="s">
        <v>6</v>
      </c>
      <c r="C38" s="22" t="s">
        <v>6</v>
      </c>
      <c r="D38" s="13" t="s">
        <v>6</v>
      </c>
      <c r="E38" s="13" t="s">
        <v>6</v>
      </c>
      <c r="F38" s="13" t="s">
        <v>6</v>
      </c>
      <c r="G38" s="13" t="s">
        <v>6</v>
      </c>
      <c r="H38" s="13" t="s">
        <v>6</v>
      </c>
      <c r="I38" s="13" t="s">
        <v>6</v>
      </c>
      <c r="J38" s="13" t="s">
        <v>6</v>
      </c>
    </row>
    <row r="41" spans="1:10" x14ac:dyDescent="0.15">
      <c r="A41" s="11" t="s">
        <v>0</v>
      </c>
      <c r="B41" s="11" t="s">
        <v>86</v>
      </c>
      <c r="C41" s="11" t="s">
        <v>87</v>
      </c>
      <c r="D41" s="11" t="s">
        <v>88</v>
      </c>
      <c r="E41" s="11" t="s">
        <v>89</v>
      </c>
      <c r="F41" s="11" t="s">
        <v>90</v>
      </c>
      <c r="G41" s="11" t="s">
        <v>91</v>
      </c>
      <c r="H41" s="11" t="s">
        <v>92</v>
      </c>
      <c r="I41" s="11" t="s">
        <v>93</v>
      </c>
      <c r="J41" s="11" t="s">
        <v>69</v>
      </c>
    </row>
    <row r="42" spans="1:10" x14ac:dyDescent="0.15">
      <c r="A42" s="12">
        <f>ROW(A17)-ROW(A$16)</f>
        <v>1</v>
      </c>
      <c r="B42" s="18" t="s">
        <v>566</v>
      </c>
      <c r="C42" s="18" t="s">
        <v>144</v>
      </c>
      <c r="D42" s="18"/>
      <c r="E42" s="18"/>
      <c r="F42" s="18"/>
      <c r="G42" s="18"/>
      <c r="H42" s="18"/>
      <c r="I42" s="20" t="s">
        <v>95</v>
      </c>
      <c r="J42" s="18" t="s">
        <v>96</v>
      </c>
    </row>
    <row r="43" spans="1:10" x14ac:dyDescent="0.15">
      <c r="A43" s="12">
        <f>ROW(A17)-ROW(A$16)</f>
        <v>2</v>
      </c>
      <c r="B43" s="18" t="s">
        <v>567</v>
      </c>
      <c r="C43" s="18" t="s">
        <v>82</v>
      </c>
      <c r="D43" s="18"/>
      <c r="E43" s="18"/>
      <c r="F43" s="18"/>
      <c r="G43" s="18"/>
      <c r="H43" s="18"/>
      <c r="I43" s="20" t="s">
        <v>95</v>
      </c>
      <c r="J43" s="18" t="s">
        <v>96</v>
      </c>
    </row>
    <row r="44" spans="1:10" x14ac:dyDescent="0.15">
      <c r="A44" s="12">
        <f>ROW(A17)-ROW(A$16)</f>
        <v>3</v>
      </c>
      <c r="B44" s="18" t="s">
        <v>568</v>
      </c>
      <c r="C44" s="18" t="s">
        <v>208</v>
      </c>
      <c r="D44" s="18" t="s">
        <v>322</v>
      </c>
      <c r="E44" s="18"/>
      <c r="F44" s="18"/>
      <c r="G44" s="18"/>
      <c r="H44" s="18"/>
      <c r="I44" s="20" t="s">
        <v>95</v>
      </c>
      <c r="J44" s="18" t="s">
        <v>96</v>
      </c>
    </row>
    <row r="45" spans="1:10" x14ac:dyDescent="0.15">
      <c r="A45" s="12">
        <f>ROW(A17)-ROW(A$16)</f>
        <v>4</v>
      </c>
      <c r="B45" s="18" t="s">
        <v>569</v>
      </c>
      <c r="C45" s="18" t="s">
        <v>117</v>
      </c>
      <c r="D45" s="18"/>
      <c r="E45" s="18"/>
      <c r="F45" s="18"/>
      <c r="G45" s="18"/>
      <c r="H45" s="18"/>
      <c r="I45" s="20" t="s">
        <v>95</v>
      </c>
      <c r="J45" s="18" t="s">
        <v>96</v>
      </c>
    </row>
    <row r="46" spans="1:10" x14ac:dyDescent="0.15">
      <c r="A46" s="12">
        <f>ROW(A17)-ROW(A$16)</f>
        <v>1</v>
      </c>
      <c r="B46" s="18"/>
      <c r="C46" s="18"/>
      <c r="D46" s="18"/>
      <c r="E46" s="18"/>
      <c r="F46" s="18"/>
      <c r="G46" s="18"/>
      <c r="H46" s="18"/>
      <c r="I46" s="20"/>
      <c r="J46" s="18"/>
    </row>
    <row r="47" spans="1:10" x14ac:dyDescent="0.15">
      <c r="A47" s="22" t="s">
        <v>6</v>
      </c>
      <c r="B47" s="22" t="s">
        <v>6</v>
      </c>
      <c r="C47" s="22" t="s">
        <v>6</v>
      </c>
      <c r="D47" s="13" t="s">
        <v>6</v>
      </c>
      <c r="E47" s="13" t="s">
        <v>6</v>
      </c>
      <c r="F47" s="13" t="s">
        <v>6</v>
      </c>
      <c r="G47" s="13" t="s">
        <v>6</v>
      </c>
      <c r="H47" s="13" t="s">
        <v>6</v>
      </c>
      <c r="I47" s="13" t="s">
        <v>6</v>
      </c>
      <c r="J4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29.875" bestFit="1" customWidth="1"/>
    <col min="3" max="3" width="11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570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144</v>
      </c>
      <c r="D9" s="18" t="s">
        <v>106</v>
      </c>
      <c r="E9" s="19">
        <v>100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571</v>
      </c>
      <c r="C10" s="18" t="s">
        <v>571</v>
      </c>
      <c r="D10" s="18" t="s">
        <v>106</v>
      </c>
      <c r="E10" s="19">
        <v>100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119</v>
      </c>
      <c r="C11" s="18" t="s">
        <v>119</v>
      </c>
      <c r="D11" s="18" t="s">
        <v>109</v>
      </c>
      <c r="E11" s="19">
        <v>200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220</v>
      </c>
      <c r="C12" s="18" t="s">
        <v>220</v>
      </c>
      <c r="D12" s="18" t="s">
        <v>138</v>
      </c>
      <c r="E12" s="19">
        <v>3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/>
      <c r="C13" s="18"/>
      <c r="D13" s="18"/>
      <c r="E13" s="19"/>
      <c r="F13" s="14"/>
      <c r="G13" s="12"/>
      <c r="H13" s="12"/>
      <c r="I13" s="29"/>
      <c r="J13" s="29"/>
    </row>
    <row r="14" spans="1:10" x14ac:dyDescent="0.15">
      <c r="A14" s="22" t="s">
        <v>6</v>
      </c>
      <c r="B14" s="22" t="s">
        <v>6</v>
      </c>
      <c r="C14" s="22" t="s">
        <v>6</v>
      </c>
      <c r="D14" s="13" t="s">
        <v>6</v>
      </c>
      <c r="E14" s="13" t="s">
        <v>6</v>
      </c>
      <c r="F14" s="13" t="s">
        <v>6</v>
      </c>
      <c r="G14" s="13" t="s">
        <v>6</v>
      </c>
      <c r="H14" s="13" t="s">
        <v>6</v>
      </c>
      <c r="I14" s="13" t="s">
        <v>6</v>
      </c>
      <c r="J14" s="13" t="s">
        <v>6</v>
      </c>
    </row>
    <row r="17" spans="1:10" x14ac:dyDescent="0.15">
      <c r="A17" s="11" t="s">
        <v>0</v>
      </c>
      <c r="B17" s="11" t="s">
        <v>86</v>
      </c>
      <c r="C17" s="11" t="s">
        <v>87</v>
      </c>
      <c r="D17" s="11" t="s">
        <v>88</v>
      </c>
      <c r="E17" s="11" t="s">
        <v>89</v>
      </c>
      <c r="F17" s="11" t="s">
        <v>90</v>
      </c>
      <c r="G17" s="11" t="s">
        <v>91</v>
      </c>
      <c r="H17" s="11" t="s">
        <v>92</v>
      </c>
      <c r="I17" s="11" t="s">
        <v>93</v>
      </c>
      <c r="J17" s="11" t="s">
        <v>69</v>
      </c>
    </row>
    <row r="18" spans="1:10" x14ac:dyDescent="0.15">
      <c r="A18" s="12">
        <f>ROW(A17)-ROW(A$16)</f>
        <v>1</v>
      </c>
      <c r="B18" s="18" t="s">
        <v>572</v>
      </c>
      <c r="C18" s="18" t="s">
        <v>144</v>
      </c>
      <c r="D18" s="18"/>
      <c r="E18" s="18"/>
      <c r="F18" s="18"/>
      <c r="G18" s="18"/>
      <c r="H18" s="18"/>
      <c r="I18" s="20" t="s">
        <v>95</v>
      </c>
      <c r="J18" s="18" t="s">
        <v>96</v>
      </c>
    </row>
    <row r="19" spans="1:10" x14ac:dyDescent="0.15">
      <c r="A19" s="12">
        <f>ROW(A17)-ROW(A$16)</f>
        <v>2</v>
      </c>
      <c r="B19" s="18" t="s">
        <v>573</v>
      </c>
      <c r="C19" s="18" t="s">
        <v>571</v>
      </c>
      <c r="D19" s="18"/>
      <c r="E19" s="18"/>
      <c r="F19" s="18"/>
      <c r="G19" s="18"/>
      <c r="H19" s="18"/>
      <c r="I19" s="20" t="s">
        <v>95</v>
      </c>
      <c r="J19" s="18" t="s">
        <v>96</v>
      </c>
    </row>
    <row r="20" spans="1:10" x14ac:dyDescent="0.15">
      <c r="A20" s="12">
        <f>ROW(A17)-ROW(A$16)</f>
        <v>3</v>
      </c>
      <c r="B20" s="18" t="s">
        <v>574</v>
      </c>
      <c r="C20" s="18" t="s">
        <v>220</v>
      </c>
      <c r="D20" s="18"/>
      <c r="E20" s="18"/>
      <c r="F20" s="18"/>
      <c r="G20" s="18"/>
      <c r="H20" s="18"/>
      <c r="I20" s="20" t="s">
        <v>95</v>
      </c>
      <c r="J20" s="18" t="s">
        <v>96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8"/>
  <sheetViews>
    <sheetView workbookViewId="0"/>
  </sheetViews>
  <sheetFormatPr defaultRowHeight="13.5" x14ac:dyDescent="0.15"/>
  <cols>
    <col min="1" max="1" width="4.875" bestFit="1" customWidth="1"/>
    <col min="2" max="2" width="34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575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144</v>
      </c>
      <c r="D9" s="18" t="s">
        <v>106</v>
      </c>
      <c r="E9" s="19">
        <v>100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105</v>
      </c>
      <c r="C10" s="18" t="s">
        <v>105</v>
      </c>
      <c r="D10" s="18" t="s">
        <v>106</v>
      </c>
      <c r="E10" s="19">
        <v>100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576</v>
      </c>
      <c r="C11" s="18" t="s">
        <v>576</v>
      </c>
      <c r="D11" s="18" t="s">
        <v>109</v>
      </c>
      <c r="E11" s="19">
        <v>200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82</v>
      </c>
      <c r="C12" s="18" t="s">
        <v>82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208</v>
      </c>
      <c r="C13" s="18" t="s">
        <v>208</v>
      </c>
      <c r="D13" s="18" t="s">
        <v>109</v>
      </c>
      <c r="E13" s="19">
        <v>200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511</v>
      </c>
      <c r="C14" s="18" t="s">
        <v>511</v>
      </c>
      <c r="D14" s="18" t="s">
        <v>109</v>
      </c>
      <c r="E14" s="19">
        <v>200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512</v>
      </c>
      <c r="C15" s="18" t="s">
        <v>512</v>
      </c>
      <c r="D15" s="18" t="s">
        <v>81</v>
      </c>
      <c r="E15" s="19">
        <v>10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220</v>
      </c>
      <c r="C16" s="18" t="s">
        <v>220</v>
      </c>
      <c r="D16" s="18" t="s">
        <v>138</v>
      </c>
      <c r="E16" s="19">
        <v>3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/>
      <c r="C17" s="18"/>
      <c r="D17" s="18"/>
      <c r="E17" s="19"/>
      <c r="F17" s="14"/>
      <c r="G17" s="12"/>
      <c r="H17" s="12"/>
      <c r="I17" s="29"/>
      <c r="J17" s="29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  <row r="21" spans="1:10" x14ac:dyDescent="0.15">
      <c r="A21" s="11" t="s">
        <v>0</v>
      </c>
      <c r="B21" s="11" t="s">
        <v>86</v>
      </c>
      <c r="C21" s="11" t="s">
        <v>87</v>
      </c>
      <c r="D21" s="11" t="s">
        <v>88</v>
      </c>
      <c r="E21" s="11" t="s">
        <v>89</v>
      </c>
      <c r="F21" s="11" t="s">
        <v>90</v>
      </c>
      <c r="G21" s="11" t="s">
        <v>91</v>
      </c>
      <c r="H21" s="11" t="s">
        <v>92</v>
      </c>
      <c r="I21" s="11" t="s">
        <v>93</v>
      </c>
      <c r="J21" s="11" t="s">
        <v>69</v>
      </c>
    </row>
    <row r="22" spans="1:10" x14ac:dyDescent="0.15">
      <c r="A22" s="12">
        <f>ROW(A17)-ROW(A$16)</f>
        <v>1</v>
      </c>
      <c r="B22" s="18" t="s">
        <v>577</v>
      </c>
      <c r="C22" s="18" t="s">
        <v>105</v>
      </c>
      <c r="D22" s="18"/>
      <c r="E22" s="18"/>
      <c r="F22" s="18"/>
      <c r="G22" s="18"/>
      <c r="H22" s="18"/>
      <c r="I22" s="20" t="s">
        <v>95</v>
      </c>
      <c r="J22" s="18" t="s">
        <v>96</v>
      </c>
    </row>
    <row r="23" spans="1:10" x14ac:dyDescent="0.15">
      <c r="A23" s="12">
        <f>ROW(A17)-ROW(A$16)</f>
        <v>2</v>
      </c>
      <c r="B23" s="18" t="s">
        <v>578</v>
      </c>
      <c r="C23" s="18" t="s">
        <v>144</v>
      </c>
      <c r="D23" s="18"/>
      <c r="E23" s="18"/>
      <c r="F23" s="18"/>
      <c r="G23" s="18"/>
      <c r="H23" s="18"/>
      <c r="I23" s="20" t="s">
        <v>95</v>
      </c>
      <c r="J23" s="18" t="s">
        <v>96</v>
      </c>
    </row>
    <row r="24" spans="1:10" x14ac:dyDescent="0.15">
      <c r="A24" s="12">
        <f>ROW(A17)-ROW(A$16)</f>
        <v>3</v>
      </c>
      <c r="B24" s="18" t="s">
        <v>579</v>
      </c>
      <c r="C24" s="18" t="s">
        <v>82</v>
      </c>
      <c r="D24" s="18"/>
      <c r="E24" s="18"/>
      <c r="F24" s="18"/>
      <c r="G24" s="18"/>
      <c r="H24" s="18"/>
      <c r="I24" s="20" t="s">
        <v>95</v>
      </c>
      <c r="J24" s="18" t="s">
        <v>96</v>
      </c>
    </row>
    <row r="25" spans="1:10" x14ac:dyDescent="0.15">
      <c r="A25" s="12">
        <f>ROW(A17)-ROW(A$16)</f>
        <v>4</v>
      </c>
      <c r="B25" s="18" t="s">
        <v>580</v>
      </c>
      <c r="C25" s="18" t="s">
        <v>208</v>
      </c>
      <c r="D25" s="18" t="s">
        <v>512</v>
      </c>
      <c r="E25" s="18"/>
      <c r="F25" s="18"/>
      <c r="G25" s="18"/>
      <c r="H25" s="18"/>
      <c r="I25" s="20" t="s">
        <v>95</v>
      </c>
      <c r="J25" s="18" t="s">
        <v>96</v>
      </c>
    </row>
    <row r="26" spans="1:10" x14ac:dyDescent="0.15">
      <c r="A26" s="12">
        <f>ROW(A17)-ROW(A$16)</f>
        <v>5</v>
      </c>
      <c r="B26" s="18" t="s">
        <v>581</v>
      </c>
      <c r="C26" s="18" t="s">
        <v>576</v>
      </c>
      <c r="D26" s="18"/>
      <c r="E26" s="18"/>
      <c r="F26" s="18"/>
      <c r="G26" s="18"/>
      <c r="H26" s="18"/>
      <c r="I26" s="20" t="s">
        <v>95</v>
      </c>
      <c r="J26" s="18" t="s">
        <v>96</v>
      </c>
    </row>
    <row r="27" spans="1:10" x14ac:dyDescent="0.15">
      <c r="A27" s="12">
        <f>ROW(A17)-ROW(A$16)</f>
        <v>1</v>
      </c>
      <c r="B27" s="18"/>
      <c r="C27" s="18"/>
      <c r="D27" s="18"/>
      <c r="E27" s="18"/>
      <c r="F27" s="18"/>
      <c r="G27" s="18"/>
      <c r="H27" s="18"/>
      <c r="I27" s="20"/>
      <c r="J27" s="18"/>
    </row>
    <row r="28" spans="1:10" x14ac:dyDescent="0.15">
      <c r="A28" s="22" t="s">
        <v>6</v>
      </c>
      <c r="B28" s="22" t="s">
        <v>6</v>
      </c>
      <c r="C28" s="22" t="s">
        <v>6</v>
      </c>
      <c r="D28" s="13" t="s">
        <v>6</v>
      </c>
      <c r="E28" s="13" t="s">
        <v>6</v>
      </c>
      <c r="F28" s="13" t="s">
        <v>6</v>
      </c>
      <c r="G28" s="13" t="s">
        <v>6</v>
      </c>
      <c r="H28" s="13" t="s">
        <v>6</v>
      </c>
      <c r="I28" s="13" t="s">
        <v>6</v>
      </c>
      <c r="J2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7.875" bestFit="1" customWidth="1"/>
    <col min="3" max="3" width="11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582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144</v>
      </c>
      <c r="D9" s="18" t="s">
        <v>106</v>
      </c>
      <c r="E9" s="19">
        <v>100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583</v>
      </c>
      <c r="C10" s="18" t="s">
        <v>583</v>
      </c>
      <c r="D10" s="18" t="s">
        <v>106</v>
      </c>
      <c r="E10" s="19">
        <v>100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119</v>
      </c>
      <c r="C11" s="18" t="s">
        <v>119</v>
      </c>
      <c r="D11" s="18" t="s">
        <v>109</v>
      </c>
      <c r="E11" s="19">
        <v>200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220</v>
      </c>
      <c r="C12" s="18" t="s">
        <v>220</v>
      </c>
      <c r="D12" s="18" t="s">
        <v>138</v>
      </c>
      <c r="E12" s="19">
        <v>3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/>
      <c r="C13" s="18"/>
      <c r="D13" s="18"/>
      <c r="E13" s="19"/>
      <c r="F13" s="14"/>
      <c r="G13" s="12"/>
      <c r="H13" s="12"/>
      <c r="I13" s="29"/>
      <c r="J13" s="29"/>
    </row>
    <row r="14" spans="1:10" x14ac:dyDescent="0.15">
      <c r="A14" s="22" t="s">
        <v>6</v>
      </c>
      <c r="B14" s="22" t="s">
        <v>6</v>
      </c>
      <c r="C14" s="22" t="s">
        <v>6</v>
      </c>
      <c r="D14" s="13" t="s">
        <v>6</v>
      </c>
      <c r="E14" s="13" t="s">
        <v>6</v>
      </c>
      <c r="F14" s="13" t="s">
        <v>6</v>
      </c>
      <c r="G14" s="13" t="s">
        <v>6</v>
      </c>
      <c r="H14" s="13" t="s">
        <v>6</v>
      </c>
      <c r="I14" s="13" t="s">
        <v>6</v>
      </c>
      <c r="J14" s="13" t="s">
        <v>6</v>
      </c>
    </row>
    <row r="17" spans="1:10" x14ac:dyDescent="0.15">
      <c r="A17" s="11" t="s">
        <v>0</v>
      </c>
      <c r="B17" s="11" t="s">
        <v>86</v>
      </c>
      <c r="C17" s="11" t="s">
        <v>87</v>
      </c>
      <c r="D17" s="11" t="s">
        <v>88</v>
      </c>
      <c r="E17" s="11" t="s">
        <v>89</v>
      </c>
      <c r="F17" s="11" t="s">
        <v>90</v>
      </c>
      <c r="G17" s="11" t="s">
        <v>91</v>
      </c>
      <c r="H17" s="11" t="s">
        <v>92</v>
      </c>
      <c r="I17" s="11" t="s">
        <v>93</v>
      </c>
      <c r="J17" s="11" t="s">
        <v>69</v>
      </c>
    </row>
    <row r="18" spans="1:10" x14ac:dyDescent="0.15">
      <c r="A18" s="12">
        <f>ROW(A17)-ROW(A$16)</f>
        <v>1</v>
      </c>
      <c r="B18" s="18" t="s">
        <v>584</v>
      </c>
      <c r="C18" s="18" t="s">
        <v>144</v>
      </c>
      <c r="D18" s="18"/>
      <c r="E18" s="18"/>
      <c r="F18" s="18"/>
      <c r="G18" s="18"/>
      <c r="H18" s="18"/>
      <c r="I18" s="20" t="s">
        <v>95</v>
      </c>
      <c r="J18" s="18" t="s">
        <v>96</v>
      </c>
    </row>
    <row r="19" spans="1:10" x14ac:dyDescent="0.15">
      <c r="A19" s="12">
        <f>ROW(A17)-ROW(A$16)</f>
        <v>2</v>
      </c>
      <c r="B19" s="18" t="s">
        <v>585</v>
      </c>
      <c r="C19" s="18" t="s">
        <v>583</v>
      </c>
      <c r="D19" s="18"/>
      <c r="E19" s="18"/>
      <c r="F19" s="18"/>
      <c r="G19" s="18"/>
      <c r="H19" s="18"/>
      <c r="I19" s="20" t="s">
        <v>95</v>
      </c>
      <c r="J19" s="18" t="s">
        <v>96</v>
      </c>
    </row>
    <row r="20" spans="1:10" x14ac:dyDescent="0.15">
      <c r="A20" s="12">
        <f>ROW(A17)-ROW(A$16)</f>
        <v>3</v>
      </c>
      <c r="B20" s="18" t="s">
        <v>586</v>
      </c>
      <c r="C20" s="18" t="s">
        <v>220</v>
      </c>
      <c r="D20" s="18"/>
      <c r="E20" s="18"/>
      <c r="F20" s="18"/>
      <c r="G20" s="18"/>
      <c r="H20" s="18"/>
      <c r="I20" s="20" t="s">
        <v>95</v>
      </c>
      <c r="J20" s="18" t="s">
        <v>96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workbookViewId="0"/>
  </sheetViews>
  <sheetFormatPr defaultRowHeight="13.5" x14ac:dyDescent="0.15"/>
  <cols>
    <col min="1" max="1" width="4.875" bestFit="1" customWidth="1"/>
    <col min="2" max="2" width="35.875" bestFit="1" customWidth="1"/>
    <col min="3" max="3" width="14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587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588</v>
      </c>
      <c r="C9" s="18" t="s">
        <v>588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589</v>
      </c>
      <c r="C10" s="18" t="s">
        <v>589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590</v>
      </c>
      <c r="C11" s="18" t="s">
        <v>590</v>
      </c>
      <c r="D11" s="18" t="s">
        <v>124</v>
      </c>
      <c r="E11" s="19">
        <v>500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/>
      <c r="C12" s="18"/>
      <c r="D12" s="18"/>
      <c r="E12" s="19"/>
      <c r="F12" s="14"/>
      <c r="G12" s="12"/>
      <c r="H12" s="12"/>
      <c r="I12" s="29"/>
      <c r="J12" s="29"/>
    </row>
    <row r="13" spans="1:10" x14ac:dyDescent="0.15">
      <c r="A13" s="22" t="s">
        <v>6</v>
      </c>
      <c r="B13" s="22" t="s">
        <v>6</v>
      </c>
      <c r="C13" s="22" t="s">
        <v>6</v>
      </c>
      <c r="D13" s="13" t="s">
        <v>6</v>
      </c>
      <c r="E13" s="13" t="s">
        <v>6</v>
      </c>
      <c r="F13" s="13" t="s">
        <v>6</v>
      </c>
      <c r="G13" s="13" t="s">
        <v>6</v>
      </c>
      <c r="H13" s="13" t="s">
        <v>6</v>
      </c>
      <c r="I13" s="13" t="s">
        <v>6</v>
      </c>
      <c r="J13" s="13" t="s">
        <v>6</v>
      </c>
    </row>
    <row r="16" spans="1:10" x14ac:dyDescent="0.15">
      <c r="A16" s="11" t="s">
        <v>0</v>
      </c>
      <c r="B16" s="11" t="s">
        <v>86</v>
      </c>
      <c r="C16" s="11" t="s">
        <v>87</v>
      </c>
      <c r="D16" s="11" t="s">
        <v>88</v>
      </c>
      <c r="E16" s="11" t="s">
        <v>89</v>
      </c>
      <c r="F16" s="11" t="s">
        <v>90</v>
      </c>
      <c r="G16" s="11" t="s">
        <v>91</v>
      </c>
      <c r="H16" s="11" t="s">
        <v>92</v>
      </c>
      <c r="I16" s="11" t="s">
        <v>93</v>
      </c>
      <c r="J16" s="11" t="s">
        <v>69</v>
      </c>
    </row>
    <row r="17" spans="1:10" x14ac:dyDescent="0.15">
      <c r="A17" s="12">
        <f>ROW(A17)-ROW(A$16)</f>
        <v>1</v>
      </c>
      <c r="B17" s="18" t="s">
        <v>591</v>
      </c>
      <c r="C17" s="18" t="s">
        <v>588</v>
      </c>
      <c r="D17" s="18" t="s">
        <v>589</v>
      </c>
      <c r="E17" s="18"/>
      <c r="F17" s="18"/>
      <c r="G17" s="18"/>
      <c r="H17" s="18"/>
      <c r="I17" s="20" t="s">
        <v>15</v>
      </c>
      <c r="J17" s="18" t="s">
        <v>96</v>
      </c>
    </row>
    <row r="18" spans="1:10" x14ac:dyDescent="0.15">
      <c r="A18" s="12">
        <f>ROW(A17)-ROW(A$16)</f>
        <v>1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22" t="s">
        <v>6</v>
      </c>
      <c r="B19" s="22" t="s">
        <v>6</v>
      </c>
      <c r="C19" s="22" t="s">
        <v>6</v>
      </c>
      <c r="D19" s="13" t="s">
        <v>6</v>
      </c>
      <c r="E19" s="13" t="s">
        <v>6</v>
      </c>
      <c r="F19" s="13" t="s">
        <v>6</v>
      </c>
      <c r="G19" s="13" t="s">
        <v>6</v>
      </c>
      <c r="H19" s="13" t="s">
        <v>6</v>
      </c>
      <c r="I19" s="13" t="s">
        <v>6</v>
      </c>
      <c r="J19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/>
  </sheetViews>
  <sheetFormatPr defaultRowHeight="13.5" x14ac:dyDescent="0.15"/>
  <cols>
    <col min="1" max="1" width="4.875" bestFit="1" customWidth="1"/>
    <col min="2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593</v>
      </c>
      <c r="C1" s="24" t="str">
        <f>INDEX(目录!D:D,MATCH(B1,目录!E:E,0))</f>
        <v>平台配置表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592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594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453</v>
      </c>
      <c r="C9" s="18" t="s">
        <v>595</v>
      </c>
      <c r="D9" s="18" t="s">
        <v>206</v>
      </c>
      <c r="E9" s="19">
        <v>32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596</v>
      </c>
      <c r="C10" s="18" t="s">
        <v>597</v>
      </c>
      <c r="D10" s="18" t="s">
        <v>179</v>
      </c>
      <c r="E10" s="19">
        <v>64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343</v>
      </c>
      <c r="C11" s="18" t="s">
        <v>598</v>
      </c>
      <c r="D11" s="18" t="s">
        <v>138</v>
      </c>
      <c r="E11" s="19">
        <v>3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599</v>
      </c>
      <c r="C12" s="18" t="s">
        <v>600</v>
      </c>
      <c r="D12" s="18" t="s">
        <v>206</v>
      </c>
      <c r="E12" s="19">
        <v>32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255</v>
      </c>
      <c r="C13" s="18" t="s">
        <v>77</v>
      </c>
      <c r="D13" s="18" t="s">
        <v>78</v>
      </c>
      <c r="E13" s="19">
        <v>65535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601</v>
      </c>
      <c r="C14" s="18" t="s">
        <v>602</v>
      </c>
      <c r="D14" s="18" t="s">
        <v>179</v>
      </c>
      <c r="E14" s="19">
        <v>64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603</v>
      </c>
      <c r="C15" s="18" t="s">
        <v>604</v>
      </c>
      <c r="D15" s="18" t="s">
        <v>78</v>
      </c>
      <c r="E15" s="19">
        <v>65535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533</v>
      </c>
      <c r="C16" s="18" t="s">
        <v>534</v>
      </c>
      <c r="D16" s="18" t="s">
        <v>218</v>
      </c>
      <c r="E16" s="19">
        <v>512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/>
      <c r="C17" s="18"/>
      <c r="D17" s="18"/>
      <c r="E17" s="19"/>
      <c r="F17" s="14"/>
      <c r="G17" s="12"/>
      <c r="H17" s="12"/>
      <c r="I17" s="29"/>
      <c r="J17" s="29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  <row r="21" spans="1:10" x14ac:dyDescent="0.15">
      <c r="A21" s="11" t="s">
        <v>0</v>
      </c>
      <c r="B21" s="11" t="s">
        <v>86</v>
      </c>
      <c r="C21" s="11" t="s">
        <v>87</v>
      </c>
      <c r="D21" s="11" t="s">
        <v>88</v>
      </c>
      <c r="E21" s="11" t="s">
        <v>89</v>
      </c>
      <c r="F21" s="11" t="s">
        <v>90</v>
      </c>
      <c r="G21" s="11" t="s">
        <v>91</v>
      </c>
      <c r="H21" s="11" t="s">
        <v>92</v>
      </c>
      <c r="I21" s="11" t="s">
        <v>93</v>
      </c>
      <c r="J21" s="11" t="s">
        <v>69</v>
      </c>
    </row>
    <row r="22" spans="1:10" x14ac:dyDescent="0.15">
      <c r="A22" s="12">
        <f>ROW(A17)-ROW(A$16)</f>
        <v>1</v>
      </c>
      <c r="B22" s="18"/>
      <c r="C22" s="18"/>
      <c r="D22" s="18"/>
      <c r="E22" s="18"/>
      <c r="F22" s="18"/>
      <c r="G22" s="18"/>
      <c r="H22" s="18"/>
      <c r="I22" s="20"/>
      <c r="J22" s="18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2"/>
  <sheetViews>
    <sheetView workbookViewId="0"/>
  </sheetViews>
  <sheetFormatPr defaultRowHeight="13.5" x14ac:dyDescent="0.15"/>
  <cols>
    <col min="1" max="1" width="4.875" bestFit="1" customWidth="1"/>
    <col min="2" max="2" width="18.875" bestFit="1" customWidth="1"/>
    <col min="3" max="3" width="14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606</v>
      </c>
      <c r="C1" s="24" t="str">
        <f>INDEX(目录!D:D,MATCH(B1,目录!E:E,0))</f>
        <v>突发事件表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605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232</v>
      </c>
      <c r="C9" s="18" t="s">
        <v>457</v>
      </c>
      <c r="D9" s="18" t="s">
        <v>250</v>
      </c>
      <c r="E9" s="19">
        <v>256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275</v>
      </c>
      <c r="C10" s="18" t="s">
        <v>458</v>
      </c>
      <c r="D10" s="18" t="s">
        <v>218</v>
      </c>
      <c r="E10" s="19">
        <v>512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234</v>
      </c>
      <c r="C11" s="18" t="s">
        <v>459</v>
      </c>
      <c r="D11" s="18" t="s">
        <v>78</v>
      </c>
      <c r="E11" s="19">
        <v>65535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280</v>
      </c>
      <c r="C12" s="18" t="s">
        <v>460</v>
      </c>
      <c r="D12" s="18" t="s">
        <v>218</v>
      </c>
      <c r="E12" s="19">
        <v>512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189</v>
      </c>
      <c r="C13" s="18" t="s">
        <v>190</v>
      </c>
      <c r="D13" s="18" t="s">
        <v>81</v>
      </c>
      <c r="E13" s="19">
        <v>10</v>
      </c>
      <c r="F13" s="14"/>
      <c r="G13" s="12"/>
      <c r="H13" s="12"/>
      <c r="I13" s="29" t="s">
        <v>188</v>
      </c>
      <c r="J13" s="29"/>
    </row>
    <row r="14" spans="1:10" x14ac:dyDescent="0.15">
      <c r="A14" s="12">
        <f>ROW(A8)-ROW(A$7)</f>
        <v>7</v>
      </c>
      <c r="B14" s="18" t="s">
        <v>127</v>
      </c>
      <c r="C14" s="18" t="s">
        <v>461</v>
      </c>
      <c r="D14" s="18" t="s">
        <v>98</v>
      </c>
      <c r="E14" s="19">
        <v>36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462</v>
      </c>
      <c r="C15" s="18" t="s">
        <v>463</v>
      </c>
      <c r="D15" s="18" t="s">
        <v>98</v>
      </c>
      <c r="E15" s="19">
        <v>36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464</v>
      </c>
      <c r="C16" s="18" t="s">
        <v>465</v>
      </c>
      <c r="D16" s="18" t="s">
        <v>325</v>
      </c>
      <c r="E16" s="19">
        <v>64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466</v>
      </c>
      <c r="C17" s="18" t="s">
        <v>467</v>
      </c>
      <c r="D17" s="18" t="s">
        <v>98</v>
      </c>
      <c r="E17" s="19">
        <v>36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468</v>
      </c>
      <c r="C18" s="18" t="s">
        <v>469</v>
      </c>
      <c r="D18" s="18" t="s">
        <v>206</v>
      </c>
      <c r="E18" s="19">
        <v>32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470</v>
      </c>
      <c r="C19" s="18" t="s">
        <v>471</v>
      </c>
      <c r="D19" s="18" t="s">
        <v>179</v>
      </c>
      <c r="E19" s="19">
        <v>64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472</v>
      </c>
      <c r="C20" s="18" t="s">
        <v>473</v>
      </c>
      <c r="D20" s="18" t="s">
        <v>179</v>
      </c>
      <c r="E20" s="19">
        <v>64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139</v>
      </c>
      <c r="C21" s="18" t="s">
        <v>321</v>
      </c>
      <c r="D21" s="18" t="s">
        <v>72</v>
      </c>
      <c r="E21" s="19">
        <v>19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224</v>
      </c>
      <c r="C22" s="18" t="s">
        <v>474</v>
      </c>
      <c r="D22" s="18" t="s">
        <v>325</v>
      </c>
      <c r="E22" s="19">
        <v>64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475</v>
      </c>
      <c r="C23" s="18" t="s">
        <v>476</v>
      </c>
      <c r="D23" s="18" t="s">
        <v>72</v>
      </c>
      <c r="E23" s="19">
        <v>19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477</v>
      </c>
      <c r="C24" s="18" t="s">
        <v>478</v>
      </c>
      <c r="D24" s="18" t="s">
        <v>98</v>
      </c>
      <c r="E24" s="19">
        <v>36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479</v>
      </c>
      <c r="C25" s="18" t="s">
        <v>480</v>
      </c>
      <c r="D25" s="18" t="s">
        <v>325</v>
      </c>
      <c r="E25" s="19">
        <v>64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/>
      <c r="C26" s="18"/>
      <c r="D26" s="18"/>
      <c r="E26" s="19"/>
      <c r="F26" s="14"/>
      <c r="G26" s="12"/>
      <c r="H26" s="12"/>
      <c r="I26" s="29"/>
      <c r="J26" s="29"/>
    </row>
    <row r="27" spans="1:10" x14ac:dyDescent="0.15">
      <c r="A27" s="22" t="s">
        <v>6</v>
      </c>
      <c r="B27" s="22" t="s">
        <v>6</v>
      </c>
      <c r="C27" s="22" t="s">
        <v>6</v>
      </c>
      <c r="D27" s="13" t="s">
        <v>6</v>
      </c>
      <c r="E27" s="13" t="s">
        <v>6</v>
      </c>
      <c r="F27" s="13" t="s">
        <v>6</v>
      </c>
      <c r="G27" s="13" t="s">
        <v>6</v>
      </c>
      <c r="H27" s="13" t="s">
        <v>6</v>
      </c>
      <c r="I27" s="13" t="s">
        <v>6</v>
      </c>
      <c r="J27" s="13" t="s">
        <v>6</v>
      </c>
    </row>
    <row r="30" spans="1:10" x14ac:dyDescent="0.15">
      <c r="A30" s="11" t="s">
        <v>0</v>
      </c>
      <c r="B30" s="11" t="s">
        <v>86</v>
      </c>
      <c r="C30" s="11" t="s">
        <v>87</v>
      </c>
      <c r="D30" s="11" t="s">
        <v>88</v>
      </c>
      <c r="E30" s="11" t="s">
        <v>89</v>
      </c>
      <c r="F30" s="11" t="s">
        <v>90</v>
      </c>
      <c r="G30" s="11" t="s">
        <v>91</v>
      </c>
      <c r="H30" s="11" t="s">
        <v>92</v>
      </c>
      <c r="I30" s="11" t="s">
        <v>93</v>
      </c>
      <c r="J30" s="11" t="s">
        <v>69</v>
      </c>
    </row>
    <row r="31" spans="1:10" x14ac:dyDescent="0.15">
      <c r="A31" s="12">
        <f>ROW(A17)-ROW(A$16)</f>
        <v>1</v>
      </c>
      <c r="B31" s="18"/>
      <c r="C31" s="18"/>
      <c r="D31" s="18"/>
      <c r="E31" s="18"/>
      <c r="F31" s="18"/>
      <c r="G31" s="18"/>
      <c r="H31" s="18"/>
      <c r="I31" s="20"/>
      <c r="J31" s="18"/>
    </row>
    <row r="32" spans="1:10" x14ac:dyDescent="0.15">
      <c r="A32" s="22" t="s">
        <v>6</v>
      </c>
      <c r="B32" s="22" t="s">
        <v>6</v>
      </c>
      <c r="C32" s="22" t="s">
        <v>6</v>
      </c>
      <c r="D32" s="13" t="s">
        <v>6</v>
      </c>
      <c r="E32" s="13" t="s">
        <v>6</v>
      </c>
      <c r="F32" s="13" t="s">
        <v>6</v>
      </c>
      <c r="G32" s="13" t="s">
        <v>6</v>
      </c>
      <c r="H32" s="13" t="s">
        <v>6</v>
      </c>
      <c r="I32" s="13" t="s">
        <v>6</v>
      </c>
      <c r="J3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1"/>
  <sheetViews>
    <sheetView workbookViewId="0"/>
  </sheetViews>
  <sheetFormatPr defaultRowHeight="13.5" x14ac:dyDescent="0.15"/>
  <cols>
    <col min="1" max="1" width="4.875" bestFit="1" customWidth="1"/>
    <col min="2" max="2" width="35.875" bestFit="1" customWidth="1"/>
    <col min="3" max="3" width="19.875" bestFit="1" customWidth="1"/>
    <col min="4" max="4" width="12.875" bestFit="1" customWidth="1"/>
    <col min="5" max="8" width="8.875" bestFit="1" customWidth="1"/>
    <col min="9" max="9" width="19.875" bestFit="1" customWidth="1"/>
    <col min="10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607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608</v>
      </c>
      <c r="C9" s="18" t="s">
        <v>608</v>
      </c>
      <c r="D9" s="18" t="s">
        <v>106</v>
      </c>
      <c r="E9" s="19">
        <v>100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609</v>
      </c>
      <c r="C10" s="18" t="s">
        <v>609</v>
      </c>
      <c r="D10" s="18" t="s">
        <v>106</v>
      </c>
      <c r="E10" s="19">
        <v>100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610</v>
      </c>
      <c r="C11" s="18" t="s">
        <v>610</v>
      </c>
      <c r="D11" s="18" t="s">
        <v>366</v>
      </c>
      <c r="E11" s="19">
        <v>20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611</v>
      </c>
      <c r="C12" s="18" t="s">
        <v>611</v>
      </c>
      <c r="D12" s="18" t="s">
        <v>106</v>
      </c>
      <c r="E12" s="19">
        <v>100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612</v>
      </c>
      <c r="C13" s="18" t="s">
        <v>612</v>
      </c>
      <c r="D13" s="18" t="s">
        <v>613</v>
      </c>
      <c r="E13" s="19">
        <v>10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139</v>
      </c>
      <c r="C14" s="18" t="s">
        <v>139</v>
      </c>
      <c r="D14" s="18" t="s">
        <v>135</v>
      </c>
      <c r="E14" s="19">
        <v>19</v>
      </c>
      <c r="F14" s="14"/>
      <c r="G14" s="12"/>
      <c r="H14" s="12" t="s">
        <v>15</v>
      </c>
      <c r="I14" s="29" t="s">
        <v>136</v>
      </c>
      <c r="J14" s="29"/>
    </row>
    <row r="15" spans="1:10" x14ac:dyDescent="0.15">
      <c r="A15" s="12">
        <f>ROW(A8)-ROW(A$7)</f>
        <v>8</v>
      </c>
      <c r="B15" s="18" t="s">
        <v>318</v>
      </c>
      <c r="C15" s="18" t="s">
        <v>318</v>
      </c>
      <c r="D15" s="18" t="s">
        <v>129</v>
      </c>
      <c r="E15" s="19">
        <v>50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146</v>
      </c>
      <c r="C16" s="18" t="s">
        <v>146</v>
      </c>
      <c r="D16" s="18" t="s">
        <v>138</v>
      </c>
      <c r="E16" s="19">
        <v>3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614</v>
      </c>
      <c r="C17" s="18" t="s">
        <v>614</v>
      </c>
      <c r="D17" s="18" t="s">
        <v>138</v>
      </c>
      <c r="E17" s="19">
        <v>3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615</v>
      </c>
      <c r="C18" s="18" t="s">
        <v>615</v>
      </c>
      <c r="D18" s="18" t="s">
        <v>98</v>
      </c>
      <c r="E18" s="19">
        <v>36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616</v>
      </c>
      <c r="C19" s="18" t="s">
        <v>616</v>
      </c>
      <c r="D19" s="18" t="s">
        <v>617</v>
      </c>
      <c r="E19" s="19">
        <v>29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618</v>
      </c>
      <c r="C20" s="18" t="s">
        <v>618</v>
      </c>
      <c r="D20" s="18" t="s">
        <v>138</v>
      </c>
      <c r="E20" s="19">
        <v>3</v>
      </c>
      <c r="F20" s="14"/>
      <c r="G20" s="12"/>
      <c r="H20" s="12"/>
      <c r="I20" s="29" t="s">
        <v>188</v>
      </c>
      <c r="J20" s="29"/>
    </row>
    <row r="21" spans="1:10" x14ac:dyDescent="0.15">
      <c r="A21" s="12">
        <f>ROW(A8)-ROW(A$7)</f>
        <v>14</v>
      </c>
      <c r="B21" s="18"/>
      <c r="C21" s="18"/>
      <c r="D21" s="18"/>
      <c r="E21" s="19"/>
      <c r="F21" s="14"/>
      <c r="G21" s="12"/>
      <c r="H21" s="12"/>
      <c r="I21" s="29"/>
      <c r="J21" s="29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  <row r="25" spans="1:10" x14ac:dyDescent="0.15">
      <c r="A25" s="11" t="s">
        <v>0</v>
      </c>
      <c r="B25" s="11" t="s">
        <v>86</v>
      </c>
      <c r="C25" s="11" t="s">
        <v>87</v>
      </c>
      <c r="D25" s="11" t="s">
        <v>88</v>
      </c>
      <c r="E25" s="11" t="s">
        <v>89</v>
      </c>
      <c r="F25" s="11" t="s">
        <v>90</v>
      </c>
      <c r="G25" s="11" t="s">
        <v>91</v>
      </c>
      <c r="H25" s="11" t="s">
        <v>92</v>
      </c>
      <c r="I25" s="11" t="s">
        <v>93</v>
      </c>
      <c r="J25" s="11" t="s">
        <v>69</v>
      </c>
    </row>
    <row r="26" spans="1:10" x14ac:dyDescent="0.15">
      <c r="A26" s="12">
        <f>ROW(A17)-ROW(A$16)</f>
        <v>1</v>
      </c>
      <c r="B26" s="18" t="s">
        <v>619</v>
      </c>
      <c r="C26" s="18" t="s">
        <v>318</v>
      </c>
      <c r="D26" s="18"/>
      <c r="E26" s="18"/>
      <c r="F26" s="18"/>
      <c r="G26" s="18"/>
      <c r="H26" s="18"/>
      <c r="I26" s="20" t="s">
        <v>95</v>
      </c>
      <c r="J26" s="18" t="s">
        <v>96</v>
      </c>
    </row>
    <row r="27" spans="1:10" x14ac:dyDescent="0.15">
      <c r="A27" s="12">
        <f>ROW(A17)-ROW(A$16)</f>
        <v>2</v>
      </c>
      <c r="B27" s="18" t="s">
        <v>620</v>
      </c>
      <c r="C27" s="18" t="s">
        <v>609</v>
      </c>
      <c r="D27" s="18"/>
      <c r="E27" s="18"/>
      <c r="F27" s="18"/>
      <c r="G27" s="18"/>
      <c r="H27" s="18"/>
      <c r="I27" s="20" t="s">
        <v>15</v>
      </c>
      <c r="J27" s="18" t="s">
        <v>96</v>
      </c>
    </row>
    <row r="28" spans="1:10" x14ac:dyDescent="0.15">
      <c r="A28" s="12">
        <f>ROW(A17)-ROW(A$16)</f>
        <v>3</v>
      </c>
      <c r="B28" s="18" t="s">
        <v>621</v>
      </c>
      <c r="C28" s="18" t="s">
        <v>610</v>
      </c>
      <c r="D28" s="18"/>
      <c r="E28" s="18"/>
      <c r="F28" s="18"/>
      <c r="G28" s="18"/>
      <c r="H28" s="18"/>
      <c r="I28" s="20" t="s">
        <v>15</v>
      </c>
      <c r="J28" s="18" t="s">
        <v>96</v>
      </c>
    </row>
    <row r="29" spans="1:10" x14ac:dyDescent="0.15">
      <c r="A29" s="12">
        <f>ROW(A17)-ROW(A$16)</f>
        <v>4</v>
      </c>
      <c r="B29" s="18" t="s">
        <v>622</v>
      </c>
      <c r="C29" s="18" t="s">
        <v>608</v>
      </c>
      <c r="D29" s="18"/>
      <c r="E29" s="18"/>
      <c r="F29" s="18"/>
      <c r="G29" s="18"/>
      <c r="H29" s="18"/>
      <c r="I29" s="20" t="s">
        <v>15</v>
      </c>
      <c r="J29" s="18" t="s">
        <v>96</v>
      </c>
    </row>
    <row r="30" spans="1:10" x14ac:dyDescent="0.15">
      <c r="A30" s="12">
        <f>ROW(A17)-ROW(A$16)</f>
        <v>1</v>
      </c>
      <c r="B30" s="18"/>
      <c r="C30" s="18"/>
      <c r="D30" s="18"/>
      <c r="E30" s="18"/>
      <c r="F30" s="18"/>
      <c r="G30" s="18"/>
      <c r="H30" s="18"/>
      <c r="I30" s="20"/>
      <c r="J30" s="18"/>
    </row>
    <row r="31" spans="1:10" x14ac:dyDescent="0.15">
      <c r="A31" s="22" t="s">
        <v>6</v>
      </c>
      <c r="B31" s="22" t="s">
        <v>6</v>
      </c>
      <c r="C31" s="22" t="s">
        <v>6</v>
      </c>
      <c r="D31" s="13" t="s">
        <v>6</v>
      </c>
      <c r="E31" s="13" t="s">
        <v>6</v>
      </c>
      <c r="F31" s="13" t="s">
        <v>6</v>
      </c>
      <c r="G31" s="13" t="s">
        <v>6</v>
      </c>
      <c r="H31" s="13" t="s">
        <v>6</v>
      </c>
      <c r="I31" s="13" t="s">
        <v>6</v>
      </c>
      <c r="J3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2"/>
  <sheetViews>
    <sheetView workbookViewId="0"/>
  </sheetViews>
  <sheetFormatPr defaultRowHeight="13.5" x14ac:dyDescent="0.15"/>
  <cols>
    <col min="1" max="1" width="4.875" bestFit="1" customWidth="1"/>
    <col min="2" max="2" width="45.875" bestFit="1" customWidth="1"/>
    <col min="3" max="3" width="20.875" bestFit="1" customWidth="1"/>
    <col min="4" max="4" width="12.875" bestFit="1" customWidth="1"/>
    <col min="5" max="8" width="8.875" bestFit="1" customWidth="1"/>
    <col min="9" max="9" width="19.875" bestFit="1" customWidth="1"/>
    <col min="10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623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127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608</v>
      </c>
      <c r="C10" s="18" t="s">
        <v>608</v>
      </c>
      <c r="D10" s="18" t="s">
        <v>106</v>
      </c>
      <c r="E10" s="19">
        <v>100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624</v>
      </c>
      <c r="C11" s="18" t="s">
        <v>624</v>
      </c>
      <c r="D11" s="18" t="s">
        <v>106</v>
      </c>
      <c r="E11" s="19">
        <v>100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625</v>
      </c>
      <c r="C12" s="18" t="s">
        <v>625</v>
      </c>
      <c r="D12" s="18" t="s">
        <v>106</v>
      </c>
      <c r="E12" s="19">
        <v>100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626</v>
      </c>
      <c r="C13" s="18" t="s">
        <v>626</v>
      </c>
      <c r="D13" s="18" t="s">
        <v>109</v>
      </c>
      <c r="E13" s="19">
        <v>200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627</v>
      </c>
      <c r="C14" s="18" t="s">
        <v>627</v>
      </c>
      <c r="D14" s="18" t="s">
        <v>106</v>
      </c>
      <c r="E14" s="19">
        <v>100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628</v>
      </c>
      <c r="C15" s="18" t="s">
        <v>628</v>
      </c>
      <c r="D15" s="18" t="s">
        <v>135</v>
      </c>
      <c r="E15" s="19">
        <v>19</v>
      </c>
      <c r="F15" s="14"/>
      <c r="G15" s="12"/>
      <c r="H15" s="12" t="s">
        <v>15</v>
      </c>
      <c r="I15" s="29" t="s">
        <v>136</v>
      </c>
      <c r="J15" s="29"/>
    </row>
    <row r="16" spans="1:10" x14ac:dyDescent="0.15">
      <c r="A16" s="12">
        <f>ROW(A8)-ROW(A$7)</f>
        <v>9</v>
      </c>
      <c r="B16" s="18" t="s">
        <v>629</v>
      </c>
      <c r="C16" s="18" t="s">
        <v>629</v>
      </c>
      <c r="D16" s="18" t="s">
        <v>135</v>
      </c>
      <c r="E16" s="19">
        <v>19</v>
      </c>
      <c r="F16" s="14"/>
      <c r="G16" s="12"/>
      <c r="H16" s="12" t="s">
        <v>15</v>
      </c>
      <c r="I16" s="29" t="s">
        <v>136</v>
      </c>
      <c r="J16" s="29"/>
    </row>
    <row r="17" spans="1:10" x14ac:dyDescent="0.15">
      <c r="A17" s="12">
        <f>ROW(A8)-ROW(A$7)</f>
        <v>10</v>
      </c>
      <c r="B17" s="18" t="s">
        <v>630</v>
      </c>
      <c r="C17" s="18" t="s">
        <v>630</v>
      </c>
      <c r="D17" s="18" t="s">
        <v>72</v>
      </c>
      <c r="E17" s="19">
        <v>19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631</v>
      </c>
      <c r="C18" s="18" t="s">
        <v>631</v>
      </c>
      <c r="D18" s="18" t="s">
        <v>72</v>
      </c>
      <c r="E18" s="19">
        <v>19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/>
      <c r="C19" s="18"/>
      <c r="D19" s="18"/>
      <c r="E19" s="19"/>
      <c r="F19" s="14"/>
      <c r="G19" s="12"/>
      <c r="H19" s="12"/>
      <c r="I19" s="29"/>
      <c r="J19" s="29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  <row r="23" spans="1:10" x14ac:dyDescent="0.15">
      <c r="A23" s="11" t="s">
        <v>0</v>
      </c>
      <c r="B23" s="11" t="s">
        <v>86</v>
      </c>
      <c r="C23" s="11" t="s">
        <v>87</v>
      </c>
      <c r="D23" s="11" t="s">
        <v>88</v>
      </c>
      <c r="E23" s="11" t="s">
        <v>89</v>
      </c>
      <c r="F23" s="11" t="s">
        <v>90</v>
      </c>
      <c r="G23" s="11" t="s">
        <v>91</v>
      </c>
      <c r="H23" s="11" t="s">
        <v>92</v>
      </c>
      <c r="I23" s="11" t="s">
        <v>93</v>
      </c>
      <c r="J23" s="11" t="s">
        <v>69</v>
      </c>
    </row>
    <row r="24" spans="1:10" x14ac:dyDescent="0.15">
      <c r="A24" s="12">
        <f>ROW(A17)-ROW(A$16)</f>
        <v>1</v>
      </c>
      <c r="B24" s="18" t="s">
        <v>632</v>
      </c>
      <c r="C24" s="18" t="s">
        <v>625</v>
      </c>
      <c r="D24" s="18"/>
      <c r="E24" s="18"/>
      <c r="F24" s="18"/>
      <c r="G24" s="18"/>
      <c r="H24" s="18"/>
      <c r="I24" s="20" t="s">
        <v>95</v>
      </c>
      <c r="J24" s="18" t="s">
        <v>96</v>
      </c>
    </row>
    <row r="25" spans="1:10" x14ac:dyDescent="0.15">
      <c r="A25" s="12">
        <f>ROW(A17)-ROW(A$16)</f>
        <v>2</v>
      </c>
      <c r="B25" s="18" t="s">
        <v>633</v>
      </c>
      <c r="C25" s="18" t="s">
        <v>628</v>
      </c>
      <c r="D25" s="18"/>
      <c r="E25" s="18"/>
      <c r="F25" s="18"/>
      <c r="G25" s="18"/>
      <c r="H25" s="18"/>
      <c r="I25" s="20" t="s">
        <v>95</v>
      </c>
      <c r="J25" s="18" t="s">
        <v>96</v>
      </c>
    </row>
    <row r="26" spans="1:10" x14ac:dyDescent="0.15">
      <c r="A26" s="12">
        <f>ROW(A17)-ROW(A$16)</f>
        <v>3</v>
      </c>
      <c r="B26" s="18" t="s">
        <v>634</v>
      </c>
      <c r="C26" s="18" t="s">
        <v>629</v>
      </c>
      <c r="D26" s="18"/>
      <c r="E26" s="18"/>
      <c r="F26" s="18"/>
      <c r="G26" s="18"/>
      <c r="H26" s="18"/>
      <c r="I26" s="20" t="s">
        <v>95</v>
      </c>
      <c r="J26" s="18" t="s">
        <v>96</v>
      </c>
    </row>
    <row r="27" spans="1:10" x14ac:dyDescent="0.15">
      <c r="A27" s="12">
        <f>ROW(A17)-ROW(A$16)</f>
        <v>4</v>
      </c>
      <c r="B27" s="18" t="s">
        <v>635</v>
      </c>
      <c r="C27" s="18" t="s">
        <v>627</v>
      </c>
      <c r="D27" s="18"/>
      <c r="E27" s="18"/>
      <c r="F27" s="18"/>
      <c r="G27" s="18"/>
      <c r="H27" s="18"/>
      <c r="I27" s="20" t="s">
        <v>95</v>
      </c>
      <c r="J27" s="18" t="s">
        <v>96</v>
      </c>
    </row>
    <row r="28" spans="1:10" x14ac:dyDescent="0.15">
      <c r="A28" s="12">
        <f>ROW(A17)-ROW(A$16)</f>
        <v>5</v>
      </c>
      <c r="B28" s="18" t="s">
        <v>636</v>
      </c>
      <c r="C28" s="18" t="s">
        <v>626</v>
      </c>
      <c r="D28" s="18"/>
      <c r="E28" s="18"/>
      <c r="F28" s="18"/>
      <c r="G28" s="18"/>
      <c r="H28" s="18"/>
      <c r="I28" s="20" t="s">
        <v>95</v>
      </c>
      <c r="J28" s="18" t="s">
        <v>96</v>
      </c>
    </row>
    <row r="29" spans="1:10" x14ac:dyDescent="0.15">
      <c r="A29" s="12">
        <f>ROW(A17)-ROW(A$16)</f>
        <v>6</v>
      </c>
      <c r="B29" s="18" t="s">
        <v>637</v>
      </c>
      <c r="C29" s="18" t="s">
        <v>608</v>
      </c>
      <c r="D29" s="18"/>
      <c r="E29" s="18"/>
      <c r="F29" s="18"/>
      <c r="G29" s="18"/>
      <c r="H29" s="18"/>
      <c r="I29" s="20" t="s">
        <v>95</v>
      </c>
      <c r="J29" s="18" t="s">
        <v>96</v>
      </c>
    </row>
    <row r="30" spans="1:10" x14ac:dyDescent="0.15">
      <c r="A30" s="12">
        <f>ROW(A17)-ROW(A$16)</f>
        <v>7</v>
      </c>
      <c r="B30" s="18" t="s">
        <v>638</v>
      </c>
      <c r="C30" s="18" t="s">
        <v>127</v>
      </c>
      <c r="D30" s="18"/>
      <c r="E30" s="18"/>
      <c r="F30" s="18"/>
      <c r="G30" s="18"/>
      <c r="H30" s="18"/>
      <c r="I30" s="20" t="s">
        <v>15</v>
      </c>
      <c r="J30" s="18" t="s">
        <v>96</v>
      </c>
    </row>
    <row r="31" spans="1:10" x14ac:dyDescent="0.15">
      <c r="A31" s="12">
        <f>ROW(A17)-ROW(A$16)</f>
        <v>1</v>
      </c>
      <c r="B31" s="18"/>
      <c r="C31" s="18"/>
      <c r="D31" s="18"/>
      <c r="E31" s="18"/>
      <c r="F31" s="18"/>
      <c r="G31" s="18"/>
      <c r="H31" s="18"/>
      <c r="I31" s="20"/>
      <c r="J31" s="18"/>
    </row>
    <row r="32" spans="1:10" x14ac:dyDescent="0.15">
      <c r="A32" s="22" t="s">
        <v>6</v>
      </c>
      <c r="B32" s="22" t="s">
        <v>6</v>
      </c>
      <c r="C32" s="22" t="s">
        <v>6</v>
      </c>
      <c r="D32" s="13" t="s">
        <v>6</v>
      </c>
      <c r="E32" s="13" t="s">
        <v>6</v>
      </c>
      <c r="F32" s="13" t="s">
        <v>6</v>
      </c>
      <c r="G32" s="13" t="s">
        <v>6</v>
      </c>
      <c r="H32" s="13" t="s">
        <v>6</v>
      </c>
      <c r="I32" s="13" t="s">
        <v>6</v>
      </c>
      <c r="J3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2"/>
  <sheetViews>
    <sheetView workbookViewId="0"/>
  </sheetViews>
  <sheetFormatPr defaultRowHeight="13.5" x14ac:dyDescent="0.15"/>
  <cols>
    <col min="1" max="1" width="4.875" bestFit="1" customWidth="1"/>
    <col min="2" max="2" width="36.875" bestFit="1" customWidth="1"/>
    <col min="3" max="3" width="16.875" bestFit="1" customWidth="1"/>
    <col min="4" max="4" width="12.875" bestFit="1" customWidth="1"/>
    <col min="5" max="8" width="8.875" bestFit="1" customWidth="1"/>
    <col min="9" max="9" width="19.875" bestFit="1" customWidth="1"/>
    <col min="10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639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106</v>
      </c>
      <c r="E8" s="19">
        <v>100</v>
      </c>
      <c r="F8" s="14"/>
      <c r="G8" s="12" t="s">
        <v>15</v>
      </c>
      <c r="H8" s="12" t="s">
        <v>15</v>
      </c>
      <c r="I8" s="29"/>
      <c r="J8" s="29"/>
    </row>
    <row r="9" spans="1:10" x14ac:dyDescent="0.15">
      <c r="A9" s="12">
        <f>ROW(A8)-ROW(A$7)</f>
        <v>2</v>
      </c>
      <c r="B9" s="18" t="s">
        <v>127</v>
      </c>
      <c r="C9" s="18" t="s">
        <v>127</v>
      </c>
      <c r="D9" s="18" t="s">
        <v>72</v>
      </c>
      <c r="E9" s="19">
        <v>19</v>
      </c>
      <c r="F9" s="14"/>
      <c r="G9" s="12"/>
      <c r="H9" s="12"/>
      <c r="I9" s="29" t="s">
        <v>188</v>
      </c>
      <c r="J9" s="29"/>
    </row>
    <row r="10" spans="1:10" x14ac:dyDescent="0.15">
      <c r="A10" s="12">
        <f>ROW(A8)-ROW(A$7)</f>
        <v>3</v>
      </c>
      <c r="B10" s="18" t="s">
        <v>608</v>
      </c>
      <c r="C10" s="18" t="s">
        <v>608</v>
      </c>
      <c r="D10" s="18" t="s">
        <v>106</v>
      </c>
      <c r="E10" s="19">
        <v>100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625</v>
      </c>
      <c r="C11" s="18" t="s">
        <v>625</v>
      </c>
      <c r="D11" s="18" t="s">
        <v>106</v>
      </c>
      <c r="E11" s="19">
        <v>100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627</v>
      </c>
      <c r="C12" s="18" t="s">
        <v>627</v>
      </c>
      <c r="D12" s="18" t="s">
        <v>106</v>
      </c>
      <c r="E12" s="19">
        <v>100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626</v>
      </c>
      <c r="C13" s="18" t="s">
        <v>626</v>
      </c>
      <c r="D13" s="18" t="s">
        <v>109</v>
      </c>
      <c r="E13" s="19">
        <v>200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318</v>
      </c>
      <c r="C14" s="18" t="s">
        <v>318</v>
      </c>
      <c r="D14" s="18" t="s">
        <v>129</v>
      </c>
      <c r="E14" s="19">
        <v>50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640</v>
      </c>
      <c r="C15" s="18" t="s">
        <v>640</v>
      </c>
      <c r="D15" s="18" t="s">
        <v>135</v>
      </c>
      <c r="E15" s="19">
        <v>19</v>
      </c>
      <c r="F15" s="14"/>
      <c r="G15" s="12"/>
      <c r="H15" s="12" t="s">
        <v>15</v>
      </c>
      <c r="I15" s="29" t="s">
        <v>136</v>
      </c>
      <c r="J15" s="29"/>
    </row>
    <row r="16" spans="1:10" x14ac:dyDescent="0.15">
      <c r="A16" s="12">
        <f>ROW(A8)-ROW(A$7)</f>
        <v>9</v>
      </c>
      <c r="B16" s="18" t="s">
        <v>641</v>
      </c>
      <c r="C16" s="18" t="s">
        <v>641</v>
      </c>
      <c r="D16" s="18" t="s">
        <v>135</v>
      </c>
      <c r="E16" s="19">
        <v>19</v>
      </c>
      <c r="F16" s="14"/>
      <c r="G16" s="12"/>
      <c r="H16" s="12" t="s">
        <v>15</v>
      </c>
      <c r="I16" s="29" t="s">
        <v>136</v>
      </c>
      <c r="J16" s="29"/>
    </row>
    <row r="17" spans="1:10" x14ac:dyDescent="0.15">
      <c r="A17" s="12">
        <f>ROW(A8)-ROW(A$7)</f>
        <v>10</v>
      </c>
      <c r="B17" s="18" t="s">
        <v>642</v>
      </c>
      <c r="C17" s="18" t="s">
        <v>642</v>
      </c>
      <c r="D17" s="18" t="s">
        <v>72</v>
      </c>
      <c r="E17" s="19">
        <v>19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643</v>
      </c>
      <c r="C18" s="18" t="s">
        <v>643</v>
      </c>
      <c r="D18" s="18" t="s">
        <v>644</v>
      </c>
      <c r="E18" s="19">
        <v>16777215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/>
      <c r="C19" s="18"/>
      <c r="D19" s="18"/>
      <c r="E19" s="19"/>
      <c r="F19" s="14"/>
      <c r="G19" s="12"/>
      <c r="H19" s="12"/>
      <c r="I19" s="29"/>
      <c r="J19" s="29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  <row r="23" spans="1:10" x14ac:dyDescent="0.15">
      <c r="A23" s="11" t="s">
        <v>0</v>
      </c>
      <c r="B23" s="11" t="s">
        <v>86</v>
      </c>
      <c r="C23" s="11" t="s">
        <v>87</v>
      </c>
      <c r="D23" s="11" t="s">
        <v>88</v>
      </c>
      <c r="E23" s="11" t="s">
        <v>89</v>
      </c>
      <c r="F23" s="11" t="s">
        <v>90</v>
      </c>
      <c r="G23" s="11" t="s">
        <v>91</v>
      </c>
      <c r="H23" s="11" t="s">
        <v>92</v>
      </c>
      <c r="I23" s="11" t="s">
        <v>93</v>
      </c>
      <c r="J23" s="11" t="s">
        <v>69</v>
      </c>
    </row>
    <row r="24" spans="1:10" x14ac:dyDescent="0.15">
      <c r="A24" s="12">
        <f>ROW(A17)-ROW(A$16)</f>
        <v>1</v>
      </c>
      <c r="B24" s="18" t="s">
        <v>645</v>
      </c>
      <c r="C24" s="18" t="s">
        <v>625</v>
      </c>
      <c r="D24" s="18"/>
      <c r="E24" s="18"/>
      <c r="F24" s="18"/>
      <c r="G24" s="18"/>
      <c r="H24" s="18"/>
      <c r="I24" s="20" t="s">
        <v>95</v>
      </c>
      <c r="J24" s="18" t="s">
        <v>96</v>
      </c>
    </row>
    <row r="25" spans="1:10" x14ac:dyDescent="0.15">
      <c r="A25" s="12">
        <f>ROW(A17)-ROW(A$16)</f>
        <v>2</v>
      </c>
      <c r="B25" s="18" t="s">
        <v>646</v>
      </c>
      <c r="C25" s="18" t="s">
        <v>641</v>
      </c>
      <c r="D25" s="18"/>
      <c r="E25" s="18"/>
      <c r="F25" s="18"/>
      <c r="G25" s="18"/>
      <c r="H25" s="18"/>
      <c r="I25" s="20" t="s">
        <v>95</v>
      </c>
      <c r="J25" s="18" t="s">
        <v>96</v>
      </c>
    </row>
    <row r="26" spans="1:10" x14ac:dyDescent="0.15">
      <c r="A26" s="12">
        <f>ROW(A17)-ROW(A$16)</f>
        <v>3</v>
      </c>
      <c r="B26" s="18" t="s">
        <v>647</v>
      </c>
      <c r="C26" s="18" t="s">
        <v>640</v>
      </c>
      <c r="D26" s="18"/>
      <c r="E26" s="18"/>
      <c r="F26" s="18"/>
      <c r="G26" s="18"/>
      <c r="H26" s="18"/>
      <c r="I26" s="20" t="s">
        <v>95</v>
      </c>
      <c r="J26" s="18" t="s">
        <v>96</v>
      </c>
    </row>
    <row r="27" spans="1:10" x14ac:dyDescent="0.15">
      <c r="A27" s="12">
        <f>ROW(A17)-ROW(A$16)</f>
        <v>4</v>
      </c>
      <c r="B27" s="18" t="s">
        <v>648</v>
      </c>
      <c r="C27" s="18" t="s">
        <v>127</v>
      </c>
      <c r="D27" s="18"/>
      <c r="E27" s="18"/>
      <c r="F27" s="18"/>
      <c r="G27" s="18"/>
      <c r="H27" s="18"/>
      <c r="I27" s="20" t="s">
        <v>95</v>
      </c>
      <c r="J27" s="18" t="s">
        <v>96</v>
      </c>
    </row>
    <row r="28" spans="1:10" x14ac:dyDescent="0.15">
      <c r="A28" s="12">
        <f>ROW(A17)-ROW(A$16)</f>
        <v>5</v>
      </c>
      <c r="B28" s="18" t="s">
        <v>649</v>
      </c>
      <c r="C28" s="18" t="s">
        <v>627</v>
      </c>
      <c r="D28" s="18"/>
      <c r="E28" s="18"/>
      <c r="F28" s="18"/>
      <c r="G28" s="18"/>
      <c r="H28" s="18"/>
      <c r="I28" s="20" t="s">
        <v>95</v>
      </c>
      <c r="J28" s="18" t="s">
        <v>96</v>
      </c>
    </row>
    <row r="29" spans="1:10" x14ac:dyDescent="0.15">
      <c r="A29" s="12">
        <f>ROW(A17)-ROW(A$16)</f>
        <v>6</v>
      </c>
      <c r="B29" s="18" t="s">
        <v>650</v>
      </c>
      <c r="C29" s="18" t="s">
        <v>626</v>
      </c>
      <c r="D29" s="18"/>
      <c r="E29" s="18"/>
      <c r="F29" s="18"/>
      <c r="G29" s="18"/>
      <c r="H29" s="18"/>
      <c r="I29" s="20" t="s">
        <v>95</v>
      </c>
      <c r="J29" s="18" t="s">
        <v>96</v>
      </c>
    </row>
    <row r="30" spans="1:10" x14ac:dyDescent="0.15">
      <c r="A30" s="12">
        <f>ROW(A17)-ROW(A$16)</f>
        <v>7</v>
      </c>
      <c r="B30" s="18" t="s">
        <v>651</v>
      </c>
      <c r="C30" s="18" t="s">
        <v>608</v>
      </c>
      <c r="D30" s="18"/>
      <c r="E30" s="18"/>
      <c r="F30" s="18"/>
      <c r="G30" s="18"/>
      <c r="H30" s="18"/>
      <c r="I30" s="20" t="s">
        <v>95</v>
      </c>
      <c r="J30" s="18" t="s">
        <v>96</v>
      </c>
    </row>
    <row r="31" spans="1:10" x14ac:dyDescent="0.15">
      <c r="A31" s="12">
        <f>ROW(A17)-ROW(A$16)</f>
        <v>1</v>
      </c>
      <c r="B31" s="18"/>
      <c r="C31" s="18"/>
      <c r="D31" s="18"/>
      <c r="E31" s="18"/>
      <c r="F31" s="18"/>
      <c r="G31" s="18"/>
      <c r="H31" s="18"/>
      <c r="I31" s="20"/>
      <c r="J31" s="18"/>
    </row>
    <row r="32" spans="1:10" x14ac:dyDescent="0.15">
      <c r="A32" s="22" t="s">
        <v>6</v>
      </c>
      <c r="B32" s="22" t="s">
        <v>6</v>
      </c>
      <c r="C32" s="22" t="s">
        <v>6</v>
      </c>
      <c r="D32" s="13" t="s">
        <v>6</v>
      </c>
      <c r="E32" s="13" t="s">
        <v>6</v>
      </c>
      <c r="F32" s="13" t="s">
        <v>6</v>
      </c>
      <c r="G32" s="13" t="s">
        <v>6</v>
      </c>
      <c r="H32" s="13" t="s">
        <v>6</v>
      </c>
      <c r="I32" s="13" t="s">
        <v>6</v>
      </c>
      <c r="J3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workbookViewId="0"/>
  </sheetViews>
  <sheetFormatPr defaultRowHeight="13.5" x14ac:dyDescent="0.15"/>
  <cols>
    <col min="1" max="1" width="4.875" bestFit="1" customWidth="1"/>
    <col min="2" max="2" width="32.875" bestFit="1" customWidth="1"/>
    <col min="3" max="4" width="15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652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127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383</v>
      </c>
      <c r="C10" s="18" t="s">
        <v>383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384</v>
      </c>
      <c r="C11" s="18" t="s">
        <v>384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/>
      <c r="C12" s="18"/>
      <c r="D12" s="18"/>
      <c r="E12" s="19"/>
      <c r="F12" s="14"/>
      <c r="G12" s="12"/>
      <c r="H12" s="12"/>
      <c r="I12" s="29"/>
      <c r="J12" s="29"/>
    </row>
    <row r="13" spans="1:10" x14ac:dyDescent="0.15">
      <c r="A13" s="22" t="s">
        <v>6</v>
      </c>
      <c r="B13" s="22" t="s">
        <v>6</v>
      </c>
      <c r="C13" s="22" t="s">
        <v>6</v>
      </c>
      <c r="D13" s="13" t="s">
        <v>6</v>
      </c>
      <c r="E13" s="13" t="s">
        <v>6</v>
      </c>
      <c r="F13" s="13" t="s">
        <v>6</v>
      </c>
      <c r="G13" s="13" t="s">
        <v>6</v>
      </c>
      <c r="H13" s="13" t="s">
        <v>6</v>
      </c>
      <c r="I13" s="13" t="s">
        <v>6</v>
      </c>
      <c r="J13" s="13" t="s">
        <v>6</v>
      </c>
    </row>
    <row r="16" spans="1:10" x14ac:dyDescent="0.15">
      <c r="A16" s="11" t="s">
        <v>0</v>
      </c>
      <c r="B16" s="11" t="s">
        <v>86</v>
      </c>
      <c r="C16" s="11" t="s">
        <v>87</v>
      </c>
      <c r="D16" s="11" t="s">
        <v>88</v>
      </c>
      <c r="E16" s="11" t="s">
        <v>89</v>
      </c>
      <c r="F16" s="11" t="s">
        <v>90</v>
      </c>
      <c r="G16" s="11" t="s">
        <v>91</v>
      </c>
      <c r="H16" s="11" t="s">
        <v>92</v>
      </c>
      <c r="I16" s="11" t="s">
        <v>93</v>
      </c>
      <c r="J16" s="11" t="s">
        <v>69</v>
      </c>
    </row>
    <row r="17" spans="1:10" x14ac:dyDescent="0.15">
      <c r="A17" s="12">
        <f>ROW(A17)-ROW(A$16)</f>
        <v>1</v>
      </c>
      <c r="B17" s="18" t="s">
        <v>653</v>
      </c>
      <c r="C17" s="18" t="s">
        <v>127</v>
      </c>
      <c r="D17" s="18" t="s">
        <v>383</v>
      </c>
      <c r="E17" s="18" t="s">
        <v>384</v>
      </c>
      <c r="F17" s="18"/>
      <c r="G17" s="18"/>
      <c r="H17" s="18"/>
      <c r="I17" s="20" t="s">
        <v>15</v>
      </c>
      <c r="J17" s="18" t="s">
        <v>96</v>
      </c>
    </row>
    <row r="18" spans="1:10" x14ac:dyDescent="0.15">
      <c r="A18" s="12">
        <f>ROW(A17)-ROW(A$16)</f>
        <v>1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22" t="s">
        <v>6</v>
      </c>
      <c r="B19" s="22" t="s">
        <v>6</v>
      </c>
      <c r="C19" s="22" t="s">
        <v>6</v>
      </c>
      <c r="D19" s="13" t="s">
        <v>6</v>
      </c>
      <c r="E19" s="13" t="s">
        <v>6</v>
      </c>
      <c r="F19" s="13" t="s">
        <v>6</v>
      </c>
      <c r="G19" s="13" t="s">
        <v>6</v>
      </c>
      <c r="H19" s="13" t="s">
        <v>6</v>
      </c>
      <c r="I19" s="13" t="s">
        <v>6</v>
      </c>
      <c r="J19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45.875" bestFit="1" customWidth="1"/>
    <col min="3" max="3" width="10.875" bestFit="1" customWidth="1"/>
    <col min="4" max="4" width="12.875" bestFit="1" customWidth="1"/>
    <col min="5" max="8" width="8.875" bestFit="1" customWidth="1"/>
    <col min="9" max="9" width="19.875" bestFit="1" customWidth="1"/>
    <col min="10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654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127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318</v>
      </c>
      <c r="C10" s="18" t="s">
        <v>318</v>
      </c>
      <c r="D10" s="18" t="s">
        <v>129</v>
      </c>
      <c r="E10" s="19">
        <v>50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655</v>
      </c>
      <c r="C11" s="18" t="s">
        <v>655</v>
      </c>
      <c r="D11" s="18" t="s">
        <v>109</v>
      </c>
      <c r="E11" s="19">
        <v>200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656</v>
      </c>
      <c r="C12" s="18" t="s">
        <v>656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657</v>
      </c>
      <c r="C13" s="18" t="s">
        <v>657</v>
      </c>
      <c r="D13" s="18" t="s">
        <v>135</v>
      </c>
      <c r="E13" s="19">
        <v>19</v>
      </c>
      <c r="F13" s="14"/>
      <c r="G13" s="12"/>
      <c r="H13" s="12" t="s">
        <v>15</v>
      </c>
      <c r="I13" s="29" t="s">
        <v>136</v>
      </c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 t="s">
        <v>658</v>
      </c>
      <c r="C19" s="18" t="s">
        <v>656</v>
      </c>
      <c r="D19" s="18" t="s">
        <v>657</v>
      </c>
      <c r="E19" s="18"/>
      <c r="F19" s="18"/>
      <c r="G19" s="18"/>
      <c r="H19" s="18"/>
      <c r="I19" s="20" t="s">
        <v>95</v>
      </c>
      <c r="J19" s="18" t="s">
        <v>96</v>
      </c>
    </row>
    <row r="20" spans="1:10" x14ac:dyDescent="0.15">
      <c r="A20" s="12">
        <f>ROW(A17)-ROW(A$16)</f>
        <v>2</v>
      </c>
      <c r="B20" s="18" t="s">
        <v>659</v>
      </c>
      <c r="C20" s="18" t="s">
        <v>127</v>
      </c>
      <c r="D20" s="18" t="s">
        <v>657</v>
      </c>
      <c r="E20" s="18"/>
      <c r="F20" s="18"/>
      <c r="G20" s="18"/>
      <c r="H20" s="18"/>
      <c r="I20" s="20" t="s">
        <v>95</v>
      </c>
      <c r="J20" s="18" t="s">
        <v>96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6"/>
  <sheetViews>
    <sheetView workbookViewId="0"/>
  </sheetViews>
  <sheetFormatPr defaultRowHeight="13.5" x14ac:dyDescent="0.15"/>
  <cols>
    <col min="1" max="1" width="4.875" bestFit="1" customWidth="1"/>
    <col min="2" max="2" width="20.875" bestFit="1" customWidth="1"/>
    <col min="3" max="3" width="28.875" bestFit="1" customWidth="1"/>
    <col min="4" max="4" width="13.875" bestFit="1" customWidth="1"/>
    <col min="5" max="8" width="8.875" bestFit="1" customWidth="1"/>
    <col min="9" max="9" width="17.875" bestFit="1" customWidth="1"/>
    <col min="10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661</v>
      </c>
      <c r="C1" s="24" t="str">
        <f>INDEX(目录!D:D,MATCH(B1,目录!E:E,0))</f>
        <v>志愿服务活动表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660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662</v>
      </c>
      <c r="C9" s="18" t="s">
        <v>663</v>
      </c>
      <c r="D9" s="18" t="s">
        <v>81</v>
      </c>
      <c r="E9" s="19">
        <v>10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664</v>
      </c>
      <c r="C10" s="18" t="s">
        <v>665</v>
      </c>
      <c r="D10" s="18" t="s">
        <v>81</v>
      </c>
      <c r="E10" s="19">
        <v>10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453</v>
      </c>
      <c r="C11" s="18" t="s">
        <v>666</v>
      </c>
      <c r="D11" s="18" t="s">
        <v>163</v>
      </c>
      <c r="E11" s="19">
        <v>16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667</v>
      </c>
      <c r="C12" s="18" t="s">
        <v>668</v>
      </c>
      <c r="D12" s="18" t="s">
        <v>669</v>
      </c>
      <c r="E12" s="19">
        <v>2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462</v>
      </c>
      <c r="C13" s="18" t="s">
        <v>670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671</v>
      </c>
      <c r="C14" s="18" t="s">
        <v>672</v>
      </c>
      <c r="D14" s="18" t="s">
        <v>179</v>
      </c>
      <c r="E14" s="19">
        <v>64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354</v>
      </c>
      <c r="C15" s="18" t="s">
        <v>673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184</v>
      </c>
      <c r="C16" s="18" t="s">
        <v>674</v>
      </c>
      <c r="D16" s="18" t="s">
        <v>72</v>
      </c>
      <c r="E16" s="19">
        <v>19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197</v>
      </c>
      <c r="C17" s="18" t="s">
        <v>675</v>
      </c>
      <c r="D17" s="18" t="s">
        <v>669</v>
      </c>
      <c r="E17" s="19">
        <v>2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676</v>
      </c>
      <c r="C18" s="18" t="s">
        <v>677</v>
      </c>
      <c r="D18" s="18" t="s">
        <v>559</v>
      </c>
      <c r="E18" s="19">
        <v>12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678</v>
      </c>
      <c r="C19" s="18" t="s">
        <v>679</v>
      </c>
      <c r="D19" s="18" t="s">
        <v>559</v>
      </c>
      <c r="E19" s="19">
        <v>12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680</v>
      </c>
      <c r="C20" s="18" t="s">
        <v>681</v>
      </c>
      <c r="D20" s="18" t="s">
        <v>669</v>
      </c>
      <c r="E20" s="19">
        <v>2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682</v>
      </c>
      <c r="C21" s="18" t="s">
        <v>683</v>
      </c>
      <c r="D21" s="18" t="s">
        <v>435</v>
      </c>
      <c r="E21" s="19">
        <v>20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684</v>
      </c>
      <c r="C22" s="18" t="s">
        <v>685</v>
      </c>
      <c r="D22" s="18" t="s">
        <v>166</v>
      </c>
      <c r="E22" s="19">
        <v>128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686</v>
      </c>
      <c r="C23" s="18" t="s">
        <v>687</v>
      </c>
      <c r="D23" s="18" t="s">
        <v>669</v>
      </c>
      <c r="E23" s="19">
        <v>2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688</v>
      </c>
      <c r="C24" s="18" t="s">
        <v>689</v>
      </c>
      <c r="D24" s="18" t="s">
        <v>81</v>
      </c>
      <c r="E24" s="19">
        <v>10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216</v>
      </c>
      <c r="C25" s="18" t="s">
        <v>690</v>
      </c>
      <c r="D25" s="18" t="s">
        <v>400</v>
      </c>
      <c r="E25" s="19">
        <v>1024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 t="s">
        <v>691</v>
      </c>
      <c r="C26" s="18" t="s">
        <v>692</v>
      </c>
      <c r="D26" s="18" t="s">
        <v>166</v>
      </c>
      <c r="E26" s="19">
        <v>128</v>
      </c>
      <c r="F26" s="14"/>
      <c r="G26" s="12"/>
      <c r="H26" s="12"/>
      <c r="I26" s="29"/>
      <c r="J26" s="29"/>
    </row>
    <row r="27" spans="1:10" x14ac:dyDescent="0.15">
      <c r="A27" s="12">
        <f>ROW(A8)-ROW(A$7)</f>
        <v>20</v>
      </c>
      <c r="B27" s="18" t="s">
        <v>693</v>
      </c>
      <c r="C27" s="18" t="s">
        <v>694</v>
      </c>
      <c r="D27" s="18" t="s">
        <v>81</v>
      </c>
      <c r="E27" s="19">
        <v>10</v>
      </c>
      <c r="F27" s="14"/>
      <c r="G27" s="12"/>
      <c r="H27" s="12"/>
      <c r="I27" s="29"/>
      <c r="J27" s="29"/>
    </row>
    <row r="28" spans="1:10" x14ac:dyDescent="0.15">
      <c r="A28" s="12">
        <f>ROW(A8)-ROW(A$7)</f>
        <v>21</v>
      </c>
      <c r="B28" s="18" t="s">
        <v>695</v>
      </c>
      <c r="C28" s="18" t="s">
        <v>696</v>
      </c>
      <c r="D28" s="18" t="s">
        <v>400</v>
      </c>
      <c r="E28" s="19">
        <v>1024</v>
      </c>
      <c r="F28" s="14"/>
      <c r="G28" s="12"/>
      <c r="H28" s="12"/>
      <c r="I28" s="29"/>
      <c r="J28" s="29"/>
    </row>
    <row r="29" spans="1:10" x14ac:dyDescent="0.15">
      <c r="A29" s="12">
        <f>ROW(A8)-ROW(A$7)</f>
        <v>22</v>
      </c>
      <c r="B29" s="18" t="s">
        <v>697</v>
      </c>
      <c r="C29" s="18" t="s">
        <v>698</v>
      </c>
      <c r="D29" s="18" t="s">
        <v>400</v>
      </c>
      <c r="E29" s="19">
        <v>1024</v>
      </c>
      <c r="F29" s="14"/>
      <c r="G29" s="12"/>
      <c r="H29" s="12"/>
      <c r="I29" s="29"/>
      <c r="J29" s="29"/>
    </row>
    <row r="30" spans="1:10" x14ac:dyDescent="0.15">
      <c r="A30" s="12">
        <f>ROW(A8)-ROW(A$7)</f>
        <v>23</v>
      </c>
      <c r="B30" s="18" t="s">
        <v>699</v>
      </c>
      <c r="C30" s="18" t="s">
        <v>700</v>
      </c>
      <c r="D30" s="18" t="s">
        <v>669</v>
      </c>
      <c r="E30" s="19">
        <v>2</v>
      </c>
      <c r="F30" s="14"/>
      <c r="G30" s="12"/>
      <c r="H30" s="12"/>
      <c r="I30" s="29"/>
      <c r="J30" s="29"/>
    </row>
    <row r="31" spans="1:10" x14ac:dyDescent="0.15">
      <c r="A31" s="12">
        <f>ROW(A8)-ROW(A$7)</f>
        <v>24</v>
      </c>
      <c r="B31" s="18" t="s">
        <v>701</v>
      </c>
      <c r="C31" s="18" t="s">
        <v>702</v>
      </c>
      <c r="D31" s="18" t="s">
        <v>669</v>
      </c>
      <c r="E31" s="19">
        <v>2</v>
      </c>
      <c r="F31" s="14"/>
      <c r="G31" s="12"/>
      <c r="H31" s="12"/>
      <c r="I31" s="29"/>
      <c r="J31" s="29"/>
    </row>
    <row r="32" spans="1:10" x14ac:dyDescent="0.15">
      <c r="A32" s="12">
        <f>ROW(A8)-ROW(A$7)</f>
        <v>25</v>
      </c>
      <c r="B32" s="18" t="s">
        <v>703</v>
      </c>
      <c r="C32" s="18" t="s">
        <v>704</v>
      </c>
      <c r="D32" s="18" t="s">
        <v>72</v>
      </c>
      <c r="E32" s="19">
        <v>19</v>
      </c>
      <c r="F32" s="14"/>
      <c r="G32" s="12"/>
      <c r="H32" s="12"/>
      <c r="I32" s="29"/>
      <c r="J32" s="29"/>
    </row>
    <row r="33" spans="1:10" x14ac:dyDescent="0.15">
      <c r="A33" s="12">
        <f>ROW(A8)-ROW(A$7)</f>
        <v>26</v>
      </c>
      <c r="B33" s="18" t="s">
        <v>705</v>
      </c>
      <c r="C33" s="18" t="s">
        <v>706</v>
      </c>
      <c r="D33" s="18" t="s">
        <v>72</v>
      </c>
      <c r="E33" s="19">
        <v>19</v>
      </c>
      <c r="F33" s="14"/>
      <c r="G33" s="12"/>
      <c r="H33" s="12"/>
      <c r="I33" s="29"/>
      <c r="J33" s="29"/>
    </row>
    <row r="34" spans="1:10" x14ac:dyDescent="0.15">
      <c r="A34" s="12">
        <f>ROW(A8)-ROW(A$7)</f>
        <v>27</v>
      </c>
      <c r="B34" s="18" t="s">
        <v>466</v>
      </c>
      <c r="C34" s="18" t="s">
        <v>467</v>
      </c>
      <c r="D34" s="18" t="s">
        <v>166</v>
      </c>
      <c r="E34" s="19">
        <v>128</v>
      </c>
      <c r="F34" s="14"/>
      <c r="G34" s="12"/>
      <c r="H34" s="12"/>
      <c r="I34" s="29"/>
      <c r="J34" s="29"/>
    </row>
    <row r="35" spans="1:10" x14ac:dyDescent="0.15">
      <c r="A35" s="12">
        <f>ROW(A8)-ROW(A$7)</f>
        <v>28</v>
      </c>
      <c r="B35" s="18" t="s">
        <v>468</v>
      </c>
      <c r="C35" s="18" t="s">
        <v>469</v>
      </c>
      <c r="D35" s="18" t="s">
        <v>206</v>
      </c>
      <c r="E35" s="19">
        <v>32</v>
      </c>
      <c r="F35" s="14"/>
      <c r="G35" s="12"/>
      <c r="H35" s="12"/>
      <c r="I35" s="29"/>
      <c r="J35" s="29"/>
    </row>
    <row r="36" spans="1:10" x14ac:dyDescent="0.15">
      <c r="A36" s="12">
        <f>ROW(A8)-ROW(A$7)</f>
        <v>29</v>
      </c>
      <c r="B36" s="18" t="s">
        <v>470</v>
      </c>
      <c r="C36" s="18" t="s">
        <v>471</v>
      </c>
      <c r="D36" s="18" t="s">
        <v>179</v>
      </c>
      <c r="E36" s="19">
        <v>64</v>
      </c>
      <c r="F36" s="14"/>
      <c r="G36" s="12"/>
      <c r="H36" s="12"/>
      <c r="I36" s="29"/>
      <c r="J36" s="29"/>
    </row>
    <row r="37" spans="1:10" x14ac:dyDescent="0.15">
      <c r="A37" s="12">
        <f>ROW(A8)-ROW(A$7)</f>
        <v>30</v>
      </c>
      <c r="B37" s="18" t="s">
        <v>472</v>
      </c>
      <c r="C37" s="18" t="s">
        <v>473</v>
      </c>
      <c r="D37" s="18" t="s">
        <v>179</v>
      </c>
      <c r="E37" s="19">
        <v>64</v>
      </c>
      <c r="F37" s="14"/>
      <c r="G37" s="12"/>
      <c r="H37" s="12"/>
      <c r="I37" s="29"/>
      <c r="J37" s="29"/>
    </row>
    <row r="38" spans="1:10" x14ac:dyDescent="0.15">
      <c r="A38" s="12">
        <f>ROW(A8)-ROW(A$7)</f>
        <v>31</v>
      </c>
      <c r="B38" s="18" t="s">
        <v>707</v>
      </c>
      <c r="C38" s="18" t="s">
        <v>708</v>
      </c>
      <c r="D38" s="18" t="s">
        <v>75</v>
      </c>
      <c r="E38" s="19">
        <v>255</v>
      </c>
      <c r="F38" s="14"/>
      <c r="G38" s="12"/>
      <c r="H38" s="12"/>
      <c r="I38" s="29"/>
      <c r="J38" s="29"/>
    </row>
    <row r="39" spans="1:10" x14ac:dyDescent="0.15">
      <c r="A39" s="12">
        <f>ROW(A8)-ROW(A$7)</f>
        <v>32</v>
      </c>
      <c r="B39" s="18" t="s">
        <v>709</v>
      </c>
      <c r="C39" s="18" t="s">
        <v>710</v>
      </c>
      <c r="D39" s="18" t="s">
        <v>81</v>
      </c>
      <c r="E39" s="19">
        <v>10</v>
      </c>
      <c r="F39" s="14"/>
      <c r="G39" s="12"/>
      <c r="H39" s="12"/>
      <c r="I39" s="29" t="s">
        <v>188</v>
      </c>
      <c r="J39" s="29"/>
    </row>
    <row r="40" spans="1:10" x14ac:dyDescent="0.15">
      <c r="A40" s="12">
        <f>ROW(A8)-ROW(A$7)</f>
        <v>33</v>
      </c>
      <c r="B40" s="18" t="s">
        <v>711</v>
      </c>
      <c r="C40" s="18" t="s">
        <v>712</v>
      </c>
      <c r="D40" s="18" t="s">
        <v>559</v>
      </c>
      <c r="E40" s="19">
        <v>12</v>
      </c>
      <c r="F40" s="14"/>
      <c r="G40" s="12"/>
      <c r="H40" s="12"/>
      <c r="I40" s="29" t="s">
        <v>188</v>
      </c>
      <c r="J40" s="29"/>
    </row>
    <row r="41" spans="1:10" x14ac:dyDescent="0.15">
      <c r="A41" s="12">
        <f>ROW(A8)-ROW(A$7)</f>
        <v>34</v>
      </c>
      <c r="B41" s="18" t="s">
        <v>713</v>
      </c>
      <c r="C41" s="18" t="s">
        <v>714</v>
      </c>
      <c r="D41" s="18" t="s">
        <v>81</v>
      </c>
      <c r="E41" s="19">
        <v>10</v>
      </c>
      <c r="F41" s="14"/>
      <c r="G41" s="12"/>
      <c r="H41" s="12"/>
      <c r="I41" s="29"/>
      <c r="J41" s="29"/>
    </row>
    <row r="42" spans="1:10" x14ac:dyDescent="0.15">
      <c r="A42" s="12">
        <f>ROW(A8)-ROW(A$7)</f>
        <v>35</v>
      </c>
      <c r="B42" s="18" t="s">
        <v>343</v>
      </c>
      <c r="C42" s="18" t="s">
        <v>715</v>
      </c>
      <c r="D42" s="18" t="s">
        <v>325</v>
      </c>
      <c r="E42" s="19">
        <v>64</v>
      </c>
      <c r="F42" s="14"/>
      <c r="G42" s="12"/>
      <c r="H42" s="12"/>
      <c r="I42" s="29"/>
      <c r="J42" s="29"/>
    </row>
    <row r="43" spans="1:10" x14ac:dyDescent="0.15">
      <c r="A43" s="12">
        <f>ROW(A8)-ROW(A$7)</f>
        <v>36</v>
      </c>
      <c r="B43" s="18" t="s">
        <v>224</v>
      </c>
      <c r="C43" s="18" t="s">
        <v>474</v>
      </c>
      <c r="D43" s="18" t="s">
        <v>325</v>
      </c>
      <c r="E43" s="19">
        <v>64</v>
      </c>
      <c r="F43" s="14"/>
      <c r="G43" s="12"/>
      <c r="H43" s="12"/>
      <c r="I43" s="29" t="s">
        <v>188</v>
      </c>
      <c r="J43" s="29"/>
    </row>
    <row r="44" spans="1:10" x14ac:dyDescent="0.15">
      <c r="A44" s="12">
        <f>ROW(A8)-ROW(A$7)</f>
        <v>37</v>
      </c>
      <c r="B44" s="18" t="s">
        <v>475</v>
      </c>
      <c r="C44" s="18" t="s">
        <v>476</v>
      </c>
      <c r="D44" s="18" t="s">
        <v>72</v>
      </c>
      <c r="E44" s="19">
        <v>19</v>
      </c>
      <c r="F44" s="14"/>
      <c r="G44" s="12"/>
      <c r="H44" s="12"/>
      <c r="I44" s="29"/>
      <c r="J44" s="29"/>
    </row>
    <row r="45" spans="1:10" x14ac:dyDescent="0.15">
      <c r="A45" s="12">
        <f>ROW(A8)-ROW(A$7)</f>
        <v>38</v>
      </c>
      <c r="B45" s="18" t="s">
        <v>477</v>
      </c>
      <c r="C45" s="18" t="s">
        <v>478</v>
      </c>
      <c r="D45" s="18" t="s">
        <v>98</v>
      </c>
      <c r="E45" s="19">
        <v>36</v>
      </c>
      <c r="F45" s="14"/>
      <c r="G45" s="12"/>
      <c r="H45" s="12"/>
      <c r="I45" s="29"/>
      <c r="J45" s="29"/>
    </row>
    <row r="46" spans="1:10" x14ac:dyDescent="0.15">
      <c r="A46" s="12">
        <f>ROW(A8)-ROW(A$7)</f>
        <v>39</v>
      </c>
      <c r="B46" s="18" t="s">
        <v>139</v>
      </c>
      <c r="C46" s="18" t="s">
        <v>321</v>
      </c>
      <c r="D46" s="18" t="s">
        <v>72</v>
      </c>
      <c r="E46" s="19">
        <v>19</v>
      </c>
      <c r="F46" s="14"/>
      <c r="G46" s="12"/>
      <c r="H46" s="12"/>
      <c r="I46" s="29"/>
      <c r="J46" s="29"/>
    </row>
    <row r="47" spans="1:10" x14ac:dyDescent="0.15">
      <c r="A47" s="12">
        <f>ROW(A8)-ROW(A$7)</f>
        <v>40</v>
      </c>
      <c r="B47" s="18" t="s">
        <v>716</v>
      </c>
      <c r="C47" s="18" t="s">
        <v>717</v>
      </c>
      <c r="D47" s="18" t="s">
        <v>138</v>
      </c>
      <c r="E47" s="19">
        <v>3</v>
      </c>
      <c r="F47" s="14"/>
      <c r="G47" s="12"/>
      <c r="H47" s="12"/>
      <c r="I47" s="29"/>
      <c r="J47" s="29"/>
    </row>
    <row r="48" spans="1:10" x14ac:dyDescent="0.15">
      <c r="A48" s="12">
        <f>ROW(A8)-ROW(A$7)</f>
        <v>41</v>
      </c>
      <c r="B48" s="18" t="s">
        <v>234</v>
      </c>
      <c r="C48" s="18" t="s">
        <v>718</v>
      </c>
      <c r="D48" s="18" t="s">
        <v>78</v>
      </c>
      <c r="E48" s="19">
        <v>65535</v>
      </c>
      <c r="F48" s="14"/>
      <c r="G48" s="12"/>
      <c r="H48" s="12"/>
      <c r="I48" s="29"/>
      <c r="J48" s="29"/>
    </row>
    <row r="49" spans="1:10" x14ac:dyDescent="0.15">
      <c r="A49" s="12">
        <f>ROW(A8)-ROW(A$7)</f>
        <v>42</v>
      </c>
      <c r="B49" s="18" t="s">
        <v>719</v>
      </c>
      <c r="C49" s="18" t="s">
        <v>720</v>
      </c>
      <c r="D49" s="18" t="s">
        <v>138</v>
      </c>
      <c r="E49" s="19">
        <v>3</v>
      </c>
      <c r="F49" s="14"/>
      <c r="G49" s="12"/>
      <c r="H49" s="12"/>
      <c r="I49" s="29"/>
      <c r="J49" s="29"/>
    </row>
    <row r="50" spans="1:10" x14ac:dyDescent="0.15">
      <c r="A50" s="12">
        <f>ROW(A8)-ROW(A$7)</f>
        <v>43</v>
      </c>
      <c r="B50" s="18" t="s">
        <v>721</v>
      </c>
      <c r="C50" s="18" t="s">
        <v>722</v>
      </c>
      <c r="D50" s="18" t="s">
        <v>81</v>
      </c>
      <c r="E50" s="19">
        <v>10</v>
      </c>
      <c r="F50" s="14"/>
      <c r="G50" s="12"/>
      <c r="H50" s="12"/>
      <c r="I50" s="29"/>
      <c r="J50" s="29"/>
    </row>
    <row r="51" spans="1:10" x14ac:dyDescent="0.15">
      <c r="A51" s="12">
        <f>ROW(A8)-ROW(A$7)</f>
        <v>44</v>
      </c>
      <c r="B51" s="18" t="s">
        <v>723</v>
      </c>
      <c r="C51" s="18" t="s">
        <v>724</v>
      </c>
      <c r="D51" s="18" t="s">
        <v>138</v>
      </c>
      <c r="E51" s="19">
        <v>3</v>
      </c>
      <c r="F51" s="14"/>
      <c r="G51" s="12"/>
      <c r="H51" s="12"/>
      <c r="I51" s="29"/>
      <c r="J51" s="29"/>
    </row>
    <row r="52" spans="1:10" x14ac:dyDescent="0.15">
      <c r="A52" s="12">
        <f>ROW(A8)-ROW(A$7)</f>
        <v>45</v>
      </c>
      <c r="B52" s="18" t="s">
        <v>127</v>
      </c>
      <c r="C52" s="18" t="s">
        <v>725</v>
      </c>
      <c r="D52" s="18" t="s">
        <v>72</v>
      </c>
      <c r="E52" s="19">
        <v>19</v>
      </c>
      <c r="F52" s="14"/>
      <c r="G52" s="12"/>
      <c r="H52" s="12"/>
      <c r="I52" s="29"/>
      <c r="J52" s="29"/>
    </row>
    <row r="53" spans="1:10" x14ac:dyDescent="0.15">
      <c r="A53" s="12">
        <f>ROW(A8)-ROW(A$7)</f>
        <v>46</v>
      </c>
      <c r="B53" s="18" t="s">
        <v>726</v>
      </c>
      <c r="C53" s="18" t="s">
        <v>727</v>
      </c>
      <c r="D53" s="18" t="s">
        <v>559</v>
      </c>
      <c r="E53" s="19">
        <v>12</v>
      </c>
      <c r="F53" s="14"/>
      <c r="G53" s="12"/>
      <c r="H53" s="12"/>
      <c r="I53" s="29"/>
      <c r="J53" s="29"/>
    </row>
    <row r="54" spans="1:10" x14ac:dyDescent="0.15">
      <c r="A54" s="12">
        <f>ROW(A8)-ROW(A$7)</f>
        <v>47</v>
      </c>
      <c r="B54" s="18" t="s">
        <v>728</v>
      </c>
      <c r="C54" s="18" t="s">
        <v>729</v>
      </c>
      <c r="D54" s="18" t="s">
        <v>730</v>
      </c>
      <c r="E54" s="19">
        <v>16</v>
      </c>
      <c r="F54" s="14"/>
      <c r="G54" s="12"/>
      <c r="H54" s="12"/>
      <c r="I54" s="29"/>
      <c r="J54" s="29"/>
    </row>
    <row r="55" spans="1:10" x14ac:dyDescent="0.15">
      <c r="A55" s="12">
        <f>ROW(A8)-ROW(A$7)</f>
        <v>48</v>
      </c>
      <c r="B55" s="18" t="s">
        <v>731</v>
      </c>
      <c r="C55" s="18" t="s">
        <v>732</v>
      </c>
      <c r="D55" s="18" t="s">
        <v>559</v>
      </c>
      <c r="E55" s="19">
        <v>12</v>
      </c>
      <c r="F55" s="14"/>
      <c r="G55" s="12"/>
      <c r="H55" s="12"/>
      <c r="I55" s="29"/>
      <c r="J55" s="29"/>
    </row>
    <row r="56" spans="1:10" x14ac:dyDescent="0.15">
      <c r="A56" s="12">
        <f>ROW(A8)-ROW(A$7)</f>
        <v>49</v>
      </c>
      <c r="B56" s="18" t="s">
        <v>733</v>
      </c>
      <c r="C56" s="18" t="s">
        <v>734</v>
      </c>
      <c r="D56" s="18" t="s">
        <v>735</v>
      </c>
      <c r="E56" s="19">
        <v>19</v>
      </c>
      <c r="F56" s="14"/>
      <c r="G56" s="12"/>
      <c r="H56" s="12"/>
      <c r="I56" s="29" t="s">
        <v>736</v>
      </c>
      <c r="J56" s="29"/>
    </row>
    <row r="57" spans="1:10" x14ac:dyDescent="0.15">
      <c r="A57" s="12">
        <f>ROW(A8)-ROW(A$7)</f>
        <v>50</v>
      </c>
      <c r="B57" s="18" t="s">
        <v>189</v>
      </c>
      <c r="C57" s="18" t="s">
        <v>190</v>
      </c>
      <c r="D57" s="18" t="s">
        <v>81</v>
      </c>
      <c r="E57" s="19">
        <v>10</v>
      </c>
      <c r="F57" s="14"/>
      <c r="G57" s="12"/>
      <c r="H57" s="12"/>
      <c r="I57" s="29" t="s">
        <v>188</v>
      </c>
      <c r="J57" s="29"/>
    </row>
    <row r="58" spans="1:10" x14ac:dyDescent="0.15">
      <c r="A58" s="12">
        <f>ROW(A8)-ROW(A$7)</f>
        <v>51</v>
      </c>
      <c r="B58" s="18" t="s">
        <v>737</v>
      </c>
      <c r="C58" s="18" t="s">
        <v>738</v>
      </c>
      <c r="D58" s="18" t="s">
        <v>75</v>
      </c>
      <c r="E58" s="19">
        <v>255</v>
      </c>
      <c r="F58" s="14"/>
      <c r="G58" s="12"/>
      <c r="H58" s="12"/>
      <c r="I58" s="29"/>
      <c r="J58" s="29"/>
    </row>
    <row r="59" spans="1:10" x14ac:dyDescent="0.15">
      <c r="A59" s="12">
        <f>ROW(A8)-ROW(A$7)</f>
        <v>52</v>
      </c>
      <c r="B59" s="18" t="s">
        <v>739</v>
      </c>
      <c r="C59" s="18" t="s">
        <v>740</v>
      </c>
      <c r="D59" s="18" t="s">
        <v>138</v>
      </c>
      <c r="E59" s="19">
        <v>3</v>
      </c>
      <c r="F59" s="14"/>
      <c r="G59" s="12"/>
      <c r="H59" s="12"/>
      <c r="I59" s="29" t="s">
        <v>188</v>
      </c>
      <c r="J59" s="29"/>
    </row>
    <row r="60" spans="1:10" x14ac:dyDescent="0.15">
      <c r="A60" s="12">
        <f>ROW(A8)-ROW(A$7)</f>
        <v>53</v>
      </c>
      <c r="B60" s="18"/>
      <c r="C60" s="18"/>
      <c r="D60" s="18"/>
      <c r="E60" s="19"/>
      <c r="F60" s="14"/>
      <c r="G60" s="12"/>
      <c r="H60" s="12"/>
      <c r="I60" s="29"/>
      <c r="J60" s="29"/>
    </row>
    <row r="61" spans="1:10" x14ac:dyDescent="0.15">
      <c r="A61" s="22" t="s">
        <v>6</v>
      </c>
      <c r="B61" s="22" t="s">
        <v>6</v>
      </c>
      <c r="C61" s="22" t="s">
        <v>6</v>
      </c>
      <c r="D61" s="13" t="s">
        <v>6</v>
      </c>
      <c r="E61" s="13" t="s">
        <v>6</v>
      </c>
      <c r="F61" s="13" t="s">
        <v>6</v>
      </c>
      <c r="G61" s="13" t="s">
        <v>6</v>
      </c>
      <c r="H61" s="13" t="s">
        <v>6</v>
      </c>
      <c r="I61" s="13" t="s">
        <v>6</v>
      </c>
      <c r="J61" s="13" t="s">
        <v>6</v>
      </c>
    </row>
    <row r="64" spans="1:10" x14ac:dyDescent="0.15">
      <c r="A64" s="11" t="s">
        <v>0</v>
      </c>
      <c r="B64" s="11" t="s">
        <v>86</v>
      </c>
      <c r="C64" s="11" t="s">
        <v>87</v>
      </c>
      <c r="D64" s="11" t="s">
        <v>88</v>
      </c>
      <c r="E64" s="11" t="s">
        <v>89</v>
      </c>
      <c r="F64" s="11" t="s">
        <v>90</v>
      </c>
      <c r="G64" s="11" t="s">
        <v>91</v>
      </c>
      <c r="H64" s="11" t="s">
        <v>92</v>
      </c>
      <c r="I64" s="11" t="s">
        <v>93</v>
      </c>
      <c r="J64" s="11" t="s">
        <v>69</v>
      </c>
    </row>
    <row r="65" spans="1:10" x14ac:dyDescent="0.15">
      <c r="A65" s="12">
        <f>ROW(A17)-ROW(A$16)</f>
        <v>1</v>
      </c>
      <c r="B65" s="18"/>
      <c r="C65" s="18"/>
      <c r="D65" s="18"/>
      <c r="E65" s="18"/>
      <c r="F65" s="18"/>
      <c r="G65" s="18"/>
      <c r="H65" s="18"/>
      <c r="I65" s="20"/>
      <c r="J65" s="18"/>
    </row>
    <row r="66" spans="1:10" x14ac:dyDescent="0.15">
      <c r="A66" s="22" t="s">
        <v>6</v>
      </c>
      <c r="B66" s="22" t="s">
        <v>6</v>
      </c>
      <c r="C66" s="22" t="s">
        <v>6</v>
      </c>
      <c r="D66" s="13" t="s">
        <v>6</v>
      </c>
      <c r="E66" s="13" t="s">
        <v>6</v>
      </c>
      <c r="F66" s="13" t="s">
        <v>6</v>
      </c>
      <c r="G66" s="13" t="s">
        <v>6</v>
      </c>
      <c r="H66" s="13" t="s">
        <v>6</v>
      </c>
      <c r="I66" s="13" t="s">
        <v>6</v>
      </c>
      <c r="J66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workbookViewId="0"/>
  </sheetViews>
  <sheetFormatPr defaultRowHeight="13.5" x14ac:dyDescent="0.15"/>
  <cols>
    <col min="1" max="1" width="4.875" bestFit="1" customWidth="1"/>
    <col min="2" max="2" width="16.875" bestFit="1" customWidth="1"/>
    <col min="3" max="3" width="11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742</v>
      </c>
      <c r="C1" s="24" t="str">
        <f>INDEX(目录!D:D,MATCH(B1,目录!E:E,0))</f>
        <v>用户活动收藏表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741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743</v>
      </c>
      <c r="C9" s="18" t="s">
        <v>744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745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139</v>
      </c>
      <c r="C11" s="18" t="s">
        <v>346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/>
      <c r="C12" s="18"/>
      <c r="D12" s="18"/>
      <c r="E12" s="19"/>
      <c r="F12" s="14"/>
      <c r="G12" s="12"/>
      <c r="H12" s="12"/>
      <c r="I12" s="29"/>
      <c r="J12" s="29"/>
    </row>
    <row r="13" spans="1:10" x14ac:dyDescent="0.15">
      <c r="A13" s="22" t="s">
        <v>6</v>
      </c>
      <c r="B13" s="22" t="s">
        <v>6</v>
      </c>
      <c r="C13" s="22" t="s">
        <v>6</v>
      </c>
      <c r="D13" s="13" t="s">
        <v>6</v>
      </c>
      <c r="E13" s="13" t="s">
        <v>6</v>
      </c>
      <c r="F13" s="13" t="s">
        <v>6</v>
      </c>
      <c r="G13" s="13" t="s">
        <v>6</v>
      </c>
      <c r="H13" s="13" t="s">
        <v>6</v>
      </c>
      <c r="I13" s="13" t="s">
        <v>6</v>
      </c>
      <c r="J13" s="13" t="s">
        <v>6</v>
      </c>
    </row>
    <row r="16" spans="1:10" x14ac:dyDescent="0.15">
      <c r="A16" s="11" t="s">
        <v>0</v>
      </c>
      <c r="B16" s="11" t="s">
        <v>86</v>
      </c>
      <c r="C16" s="11" t="s">
        <v>87</v>
      </c>
      <c r="D16" s="11" t="s">
        <v>88</v>
      </c>
      <c r="E16" s="11" t="s">
        <v>89</v>
      </c>
      <c r="F16" s="11" t="s">
        <v>90</v>
      </c>
      <c r="G16" s="11" t="s">
        <v>91</v>
      </c>
      <c r="H16" s="11" t="s">
        <v>92</v>
      </c>
      <c r="I16" s="11" t="s">
        <v>93</v>
      </c>
      <c r="J16" s="11" t="s">
        <v>69</v>
      </c>
    </row>
    <row r="17" spans="1:10" x14ac:dyDescent="0.15">
      <c r="A17" s="12">
        <f>ROW(A17)-ROW(A$16)</f>
        <v>1</v>
      </c>
      <c r="B17" s="18" t="s">
        <v>746</v>
      </c>
      <c r="C17" s="18" t="s">
        <v>743</v>
      </c>
      <c r="D17" s="18" t="s">
        <v>127</v>
      </c>
      <c r="E17" s="18"/>
      <c r="F17" s="18"/>
      <c r="G17" s="18"/>
      <c r="H17" s="18"/>
      <c r="I17" s="20" t="s">
        <v>15</v>
      </c>
      <c r="J17" s="18" t="s">
        <v>96</v>
      </c>
    </row>
    <row r="18" spans="1:10" x14ac:dyDescent="0.15">
      <c r="A18" s="12">
        <f>ROW(A17)-ROW(A$16)</f>
        <v>1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22" t="s">
        <v>6</v>
      </c>
      <c r="B19" s="22" t="s">
        <v>6</v>
      </c>
      <c r="C19" s="22" t="s">
        <v>6</v>
      </c>
      <c r="D19" s="13" t="s">
        <v>6</v>
      </c>
      <c r="E19" s="13" t="s">
        <v>6</v>
      </c>
      <c r="F19" s="13" t="s">
        <v>6</v>
      </c>
      <c r="G19" s="13" t="s">
        <v>6</v>
      </c>
      <c r="H19" s="13" t="s">
        <v>6</v>
      </c>
      <c r="I19" s="13" t="s">
        <v>6</v>
      </c>
      <c r="J19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6"/>
  <sheetViews>
    <sheetView workbookViewId="0"/>
  </sheetViews>
  <sheetFormatPr defaultRowHeight="13.5" x14ac:dyDescent="0.15"/>
  <cols>
    <col min="1" max="1" width="4.875" bestFit="1" customWidth="1"/>
    <col min="2" max="2" width="19.875" bestFit="1" customWidth="1"/>
    <col min="3" max="3" width="12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748</v>
      </c>
      <c r="C1" s="24" t="str">
        <f>INDEX(目录!D:D,MATCH(B1,目录!E:E,0))</f>
        <v>活动评论表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747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749</v>
      </c>
      <c r="D9" s="18" t="s">
        <v>730</v>
      </c>
      <c r="E9" s="19">
        <v>16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743</v>
      </c>
      <c r="C10" s="18" t="s">
        <v>744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750</v>
      </c>
      <c r="C11" s="18" t="s">
        <v>751</v>
      </c>
      <c r="D11" s="18" t="s">
        <v>730</v>
      </c>
      <c r="E11" s="19">
        <v>16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127</v>
      </c>
      <c r="C12" s="18" t="s">
        <v>745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234</v>
      </c>
      <c r="C13" s="18" t="s">
        <v>752</v>
      </c>
      <c r="D13" s="18" t="s">
        <v>400</v>
      </c>
      <c r="E13" s="19">
        <v>1024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615</v>
      </c>
      <c r="C14" s="18" t="s">
        <v>753</v>
      </c>
      <c r="D14" s="18" t="s">
        <v>98</v>
      </c>
      <c r="E14" s="19">
        <v>36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224</v>
      </c>
      <c r="C15" s="18" t="s">
        <v>754</v>
      </c>
      <c r="D15" s="18" t="s">
        <v>179</v>
      </c>
      <c r="E15" s="19">
        <v>64</v>
      </c>
      <c r="F15" s="14"/>
      <c r="G15" s="12"/>
      <c r="H15" s="12"/>
      <c r="I15" s="29" t="s">
        <v>188</v>
      </c>
      <c r="J15" s="29"/>
    </row>
    <row r="16" spans="1:10" x14ac:dyDescent="0.15">
      <c r="A16" s="12">
        <f>ROW(A8)-ROW(A$7)</f>
        <v>9</v>
      </c>
      <c r="B16" s="18" t="s">
        <v>475</v>
      </c>
      <c r="C16" s="18" t="s">
        <v>476</v>
      </c>
      <c r="D16" s="18" t="s">
        <v>72</v>
      </c>
      <c r="E16" s="19">
        <v>19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477</v>
      </c>
      <c r="C17" s="18" t="s">
        <v>478</v>
      </c>
      <c r="D17" s="18" t="s">
        <v>98</v>
      </c>
      <c r="E17" s="19">
        <v>36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139</v>
      </c>
      <c r="C18" s="18" t="s">
        <v>346</v>
      </c>
      <c r="D18" s="18" t="s">
        <v>72</v>
      </c>
      <c r="E18" s="19">
        <v>19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755</v>
      </c>
      <c r="C19" s="18" t="s">
        <v>756</v>
      </c>
      <c r="D19" s="18" t="s">
        <v>72</v>
      </c>
      <c r="E19" s="19">
        <v>19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/>
      <c r="C20" s="18"/>
      <c r="D20" s="18"/>
      <c r="E20" s="19"/>
      <c r="F20" s="14"/>
      <c r="G20" s="12"/>
      <c r="H20" s="12"/>
      <c r="I20" s="29"/>
      <c r="J20" s="29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  <row r="24" spans="1:10" x14ac:dyDescent="0.15">
      <c r="A24" s="11" t="s">
        <v>0</v>
      </c>
      <c r="B24" s="11" t="s">
        <v>86</v>
      </c>
      <c r="C24" s="11" t="s">
        <v>87</v>
      </c>
      <c r="D24" s="11" t="s">
        <v>88</v>
      </c>
      <c r="E24" s="11" t="s">
        <v>89</v>
      </c>
      <c r="F24" s="11" t="s">
        <v>90</v>
      </c>
      <c r="G24" s="11" t="s">
        <v>91</v>
      </c>
      <c r="H24" s="11" t="s">
        <v>92</v>
      </c>
      <c r="I24" s="11" t="s">
        <v>93</v>
      </c>
      <c r="J24" s="11" t="s">
        <v>69</v>
      </c>
    </row>
    <row r="25" spans="1:10" x14ac:dyDescent="0.15">
      <c r="A25" s="12">
        <f>ROW(A17)-ROW(A$16)</f>
        <v>1</v>
      </c>
      <c r="B25" s="18"/>
      <c r="C25" s="18"/>
      <c r="D25" s="18"/>
      <c r="E25" s="18"/>
      <c r="F25" s="18"/>
      <c r="G25" s="18"/>
      <c r="H25" s="18"/>
      <c r="I25" s="20"/>
      <c r="J25" s="18"/>
    </row>
    <row r="26" spans="1:10" x14ac:dyDescent="0.15">
      <c r="A26" s="22" t="s">
        <v>6</v>
      </c>
      <c r="B26" s="22" t="s">
        <v>6</v>
      </c>
      <c r="C26" s="22" t="s">
        <v>6</v>
      </c>
      <c r="D26" s="13" t="s">
        <v>6</v>
      </c>
      <c r="E26" s="13" t="s">
        <v>6</v>
      </c>
      <c r="F26" s="13" t="s">
        <v>6</v>
      </c>
      <c r="G26" s="13" t="s">
        <v>6</v>
      </c>
      <c r="H26" s="13" t="s">
        <v>6</v>
      </c>
      <c r="I26" s="13" t="s">
        <v>6</v>
      </c>
      <c r="J26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/>
  </sheetViews>
  <sheetFormatPr defaultRowHeight="13.5" x14ac:dyDescent="0.15"/>
  <cols>
    <col min="1" max="1" width="4.875" bestFit="1" customWidth="1"/>
    <col min="2" max="2" width="17.875" bestFit="1" customWidth="1"/>
    <col min="3" max="3" width="22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758</v>
      </c>
      <c r="C1" s="24" t="str">
        <f>INDEX(目录!D:D,MATCH(B1,目录!E:E,0))</f>
        <v>活动记录文件表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757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743</v>
      </c>
      <c r="C9" s="18" t="s">
        <v>744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759</v>
      </c>
      <c r="C10" s="18" t="s">
        <v>760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750</v>
      </c>
      <c r="C11" s="18" t="s">
        <v>761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127</v>
      </c>
      <c r="C12" s="18" t="s">
        <v>745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762</v>
      </c>
      <c r="C13" s="18" t="s">
        <v>763</v>
      </c>
      <c r="D13" s="18" t="s">
        <v>81</v>
      </c>
      <c r="E13" s="19">
        <v>10</v>
      </c>
      <c r="F13" s="14"/>
      <c r="G13" s="12"/>
      <c r="H13" s="12"/>
      <c r="I13" s="29" t="s">
        <v>188</v>
      </c>
      <c r="J13" s="29"/>
    </row>
    <row r="14" spans="1:10" x14ac:dyDescent="0.15">
      <c r="A14" s="12">
        <f>ROW(A8)-ROW(A$7)</f>
        <v>7</v>
      </c>
      <c r="B14" s="18" t="s">
        <v>764</v>
      </c>
      <c r="C14" s="18" t="s">
        <v>765</v>
      </c>
      <c r="D14" s="18" t="s">
        <v>250</v>
      </c>
      <c r="E14" s="19">
        <v>256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177</v>
      </c>
      <c r="C15" s="18" t="s">
        <v>766</v>
      </c>
      <c r="D15" s="18" t="s">
        <v>179</v>
      </c>
      <c r="E15" s="19">
        <v>64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767</v>
      </c>
      <c r="C16" s="18" t="s">
        <v>768</v>
      </c>
      <c r="D16" s="18" t="s">
        <v>179</v>
      </c>
      <c r="E16" s="19">
        <v>64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139</v>
      </c>
      <c r="C17" s="18" t="s">
        <v>346</v>
      </c>
      <c r="D17" s="18" t="s">
        <v>72</v>
      </c>
      <c r="E17" s="19">
        <v>19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769</v>
      </c>
      <c r="C18" s="18" t="s">
        <v>770</v>
      </c>
      <c r="D18" s="18" t="s">
        <v>138</v>
      </c>
      <c r="E18" s="19">
        <v>3</v>
      </c>
      <c r="F18" s="14"/>
      <c r="G18" s="12"/>
      <c r="H18" s="12"/>
      <c r="I18" s="29" t="s">
        <v>188</v>
      </c>
      <c r="J18" s="29"/>
    </row>
    <row r="19" spans="1:10" x14ac:dyDescent="0.15">
      <c r="A19" s="12">
        <f>ROW(A8)-ROW(A$7)</f>
        <v>12</v>
      </c>
      <c r="B19" s="18"/>
      <c r="C19" s="18"/>
      <c r="D19" s="18"/>
      <c r="E19" s="19"/>
      <c r="F19" s="14"/>
      <c r="G19" s="12"/>
      <c r="H19" s="12"/>
      <c r="I19" s="29"/>
      <c r="J19" s="29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  <row r="23" spans="1:10" x14ac:dyDescent="0.15">
      <c r="A23" s="11" t="s">
        <v>0</v>
      </c>
      <c r="B23" s="11" t="s">
        <v>86</v>
      </c>
      <c r="C23" s="11" t="s">
        <v>87</v>
      </c>
      <c r="D23" s="11" t="s">
        <v>88</v>
      </c>
      <c r="E23" s="11" t="s">
        <v>89</v>
      </c>
      <c r="F23" s="11" t="s">
        <v>90</v>
      </c>
      <c r="G23" s="11" t="s">
        <v>91</v>
      </c>
      <c r="H23" s="11" t="s">
        <v>92</v>
      </c>
      <c r="I23" s="11" t="s">
        <v>93</v>
      </c>
      <c r="J23" s="11" t="s">
        <v>69</v>
      </c>
    </row>
    <row r="24" spans="1:10" x14ac:dyDescent="0.15">
      <c r="A24" s="12">
        <f>ROW(A17)-ROW(A$16)</f>
        <v>1</v>
      </c>
      <c r="B24" s="18"/>
      <c r="C24" s="18"/>
      <c r="D24" s="18"/>
      <c r="E24" s="18"/>
      <c r="F24" s="18"/>
      <c r="G24" s="18"/>
      <c r="H24" s="18"/>
      <c r="I24" s="20"/>
      <c r="J24" s="18"/>
    </row>
    <row r="25" spans="1:10" x14ac:dyDescent="0.15">
      <c r="A25" s="22" t="s">
        <v>6</v>
      </c>
      <c r="B25" s="22" t="s">
        <v>6</v>
      </c>
      <c r="C25" s="22" t="s">
        <v>6</v>
      </c>
      <c r="D25" s="13" t="s">
        <v>6</v>
      </c>
      <c r="E25" s="13" t="s">
        <v>6</v>
      </c>
      <c r="F25" s="13" t="s">
        <v>6</v>
      </c>
      <c r="G25" s="13" t="s">
        <v>6</v>
      </c>
      <c r="H25" s="13" t="s">
        <v>6</v>
      </c>
      <c r="I25" s="13" t="s">
        <v>6</v>
      </c>
      <c r="J25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16.875" bestFit="1" customWidth="1"/>
    <col min="3" max="3" width="10.875" bestFit="1" customWidth="1"/>
    <col min="4" max="4" width="11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772</v>
      </c>
      <c r="C1" s="24" t="str">
        <f>INDEX(目录!D:D,MATCH(B1,目录!E:E,0))</f>
        <v>活动资讯表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771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743</v>
      </c>
      <c r="C9" s="18" t="s">
        <v>744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232</v>
      </c>
      <c r="C10" s="18" t="s">
        <v>773</v>
      </c>
      <c r="D10" s="18" t="s">
        <v>179</v>
      </c>
      <c r="E10" s="19">
        <v>64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234</v>
      </c>
      <c r="C11" s="18" t="s">
        <v>752</v>
      </c>
      <c r="D11" s="18" t="s">
        <v>78</v>
      </c>
      <c r="E11" s="19">
        <v>65535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774</v>
      </c>
      <c r="C12" s="18" t="s">
        <v>190</v>
      </c>
      <c r="D12" s="18" t="s">
        <v>81</v>
      </c>
      <c r="E12" s="19">
        <v>10</v>
      </c>
      <c r="F12" s="14"/>
      <c r="G12" s="12"/>
      <c r="H12" s="12"/>
      <c r="I12" s="29" t="s">
        <v>188</v>
      </c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346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workbookViewId="0"/>
  </sheetViews>
  <sheetFormatPr defaultRowHeight="13.5" x14ac:dyDescent="0.15"/>
  <cols>
    <col min="1" max="1" width="4.875" bestFit="1" customWidth="1"/>
    <col min="2" max="2" width="18.875" bestFit="1" customWidth="1"/>
    <col min="3" max="3" width="23.875" bestFit="1" customWidth="1"/>
    <col min="4" max="4" width="11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776</v>
      </c>
      <c r="C1" s="24" t="str">
        <f>INDEX(目录!D:D,MATCH(B1,目录!E:E,0))</f>
        <v>活动管理人员表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775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743</v>
      </c>
      <c r="C9" s="18" t="s">
        <v>744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745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777</v>
      </c>
      <c r="C11" s="18" t="s">
        <v>778</v>
      </c>
      <c r="D11" s="18" t="s">
        <v>179</v>
      </c>
      <c r="E11" s="19">
        <v>64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/>
      <c r="C12" s="18"/>
      <c r="D12" s="18"/>
      <c r="E12" s="19"/>
      <c r="F12" s="14"/>
      <c r="G12" s="12"/>
      <c r="H12" s="12"/>
      <c r="I12" s="29"/>
      <c r="J12" s="29"/>
    </row>
    <row r="13" spans="1:10" x14ac:dyDescent="0.15">
      <c r="A13" s="22" t="s">
        <v>6</v>
      </c>
      <c r="B13" s="22" t="s">
        <v>6</v>
      </c>
      <c r="C13" s="22" t="s">
        <v>6</v>
      </c>
      <c r="D13" s="13" t="s">
        <v>6</v>
      </c>
      <c r="E13" s="13" t="s">
        <v>6</v>
      </c>
      <c r="F13" s="13" t="s">
        <v>6</v>
      </c>
      <c r="G13" s="13" t="s">
        <v>6</v>
      </c>
      <c r="H13" s="13" t="s">
        <v>6</v>
      </c>
      <c r="I13" s="13" t="s">
        <v>6</v>
      </c>
      <c r="J13" s="13" t="s">
        <v>6</v>
      </c>
    </row>
    <row r="16" spans="1:10" x14ac:dyDescent="0.15">
      <c r="A16" s="11" t="s">
        <v>0</v>
      </c>
      <c r="B16" s="11" t="s">
        <v>86</v>
      </c>
      <c r="C16" s="11" t="s">
        <v>87</v>
      </c>
      <c r="D16" s="11" t="s">
        <v>88</v>
      </c>
      <c r="E16" s="11" t="s">
        <v>89</v>
      </c>
      <c r="F16" s="11" t="s">
        <v>90</v>
      </c>
      <c r="G16" s="11" t="s">
        <v>91</v>
      </c>
      <c r="H16" s="11" t="s">
        <v>92</v>
      </c>
      <c r="I16" s="11" t="s">
        <v>93</v>
      </c>
      <c r="J16" s="11" t="s">
        <v>69</v>
      </c>
    </row>
    <row r="17" spans="1:10" x14ac:dyDescent="0.15">
      <c r="A17" s="12">
        <f>ROW(A17)-ROW(A$16)</f>
        <v>1</v>
      </c>
      <c r="B17" s="18"/>
      <c r="C17" s="18"/>
      <c r="D17" s="18"/>
      <c r="E17" s="18"/>
      <c r="F17" s="18"/>
      <c r="G17" s="18"/>
      <c r="H17" s="18"/>
      <c r="I17" s="20"/>
      <c r="J17" s="18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6.875" bestFit="1" customWidth="1"/>
    <col min="3" max="3" width="37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780</v>
      </c>
      <c r="C1" s="24" t="str">
        <f>INDEX(目录!D:D,MATCH(B1,目录!E:E,0))</f>
        <v>活动位置地图表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779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781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782</v>
      </c>
      <c r="C9" s="18" t="s">
        <v>783</v>
      </c>
      <c r="D9" s="18" t="s">
        <v>138</v>
      </c>
      <c r="E9" s="19">
        <v>3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726</v>
      </c>
      <c r="C10" s="18" t="s">
        <v>727</v>
      </c>
      <c r="D10" s="18" t="s">
        <v>559</v>
      </c>
      <c r="E10" s="19">
        <v>12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731</v>
      </c>
      <c r="C11" s="18" t="s">
        <v>732</v>
      </c>
      <c r="D11" s="18" t="s">
        <v>559</v>
      </c>
      <c r="E11" s="19">
        <v>12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784</v>
      </c>
      <c r="C12" s="18" t="s">
        <v>785</v>
      </c>
      <c r="D12" s="18" t="s">
        <v>81</v>
      </c>
      <c r="E12" s="19">
        <v>10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214</v>
      </c>
      <c r="C13" s="18" t="s">
        <v>786</v>
      </c>
      <c r="D13" s="18" t="s">
        <v>166</v>
      </c>
      <c r="E13" s="19">
        <v>128</v>
      </c>
      <c r="F13" s="14"/>
      <c r="G13" s="12"/>
      <c r="H13" s="12" t="s">
        <v>15</v>
      </c>
      <c r="I13" s="29"/>
      <c r="J13" s="29"/>
    </row>
    <row r="14" spans="1:10" x14ac:dyDescent="0.15">
      <c r="A14" s="12">
        <f>ROW(A8)-ROW(A$7)</f>
        <v>7</v>
      </c>
      <c r="B14" s="18" t="s">
        <v>787</v>
      </c>
      <c r="C14" s="18" t="s">
        <v>788</v>
      </c>
      <c r="D14" s="18" t="s">
        <v>179</v>
      </c>
      <c r="E14" s="19">
        <v>64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789</v>
      </c>
      <c r="C15" s="18" t="s">
        <v>790</v>
      </c>
      <c r="D15" s="18" t="s">
        <v>250</v>
      </c>
      <c r="E15" s="19">
        <v>256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6"/>
  <sheetViews>
    <sheetView workbookViewId="0"/>
  </sheetViews>
  <sheetFormatPr defaultRowHeight="13.5" x14ac:dyDescent="0.15"/>
  <cols>
    <col min="1" max="1" width="4.875" bestFit="1" customWidth="1"/>
    <col min="2" max="2" width="16.875" bestFit="1" customWidth="1"/>
    <col min="3" max="3" width="25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792</v>
      </c>
      <c r="C1" s="24" t="str">
        <f>INDEX(目录!D:D,MATCH(B1,目录!E:E,0))</f>
        <v>活动评价表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791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793</v>
      </c>
      <c r="D9" s="18" t="s">
        <v>163</v>
      </c>
      <c r="E9" s="19">
        <v>16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743</v>
      </c>
      <c r="C10" s="18" t="s">
        <v>744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127</v>
      </c>
      <c r="C11" s="18" t="s">
        <v>745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794</v>
      </c>
      <c r="C12" s="18" t="s">
        <v>795</v>
      </c>
      <c r="D12" s="18" t="s">
        <v>81</v>
      </c>
      <c r="E12" s="19">
        <v>10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796</v>
      </c>
      <c r="C13" s="18" t="s">
        <v>797</v>
      </c>
      <c r="D13" s="18" t="s">
        <v>81</v>
      </c>
      <c r="E13" s="19">
        <v>10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798</v>
      </c>
      <c r="C14" s="18" t="s">
        <v>799</v>
      </c>
      <c r="D14" s="18" t="s">
        <v>81</v>
      </c>
      <c r="E14" s="19">
        <v>10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800</v>
      </c>
      <c r="C15" s="18" t="s">
        <v>801</v>
      </c>
      <c r="D15" s="18" t="s">
        <v>81</v>
      </c>
      <c r="E15" s="19">
        <v>10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802</v>
      </c>
      <c r="C16" s="18" t="s">
        <v>803</v>
      </c>
      <c r="D16" s="18" t="s">
        <v>81</v>
      </c>
      <c r="E16" s="19">
        <v>10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234</v>
      </c>
      <c r="C17" s="18" t="s">
        <v>752</v>
      </c>
      <c r="D17" s="18" t="s">
        <v>400</v>
      </c>
      <c r="E17" s="19">
        <v>1024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615</v>
      </c>
      <c r="C18" s="18" t="s">
        <v>753</v>
      </c>
      <c r="D18" s="18" t="s">
        <v>98</v>
      </c>
      <c r="E18" s="19">
        <v>36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139</v>
      </c>
      <c r="C19" s="18" t="s">
        <v>346</v>
      </c>
      <c r="D19" s="18" t="s">
        <v>72</v>
      </c>
      <c r="E19" s="19">
        <v>19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/>
      <c r="C20" s="18"/>
      <c r="D20" s="18"/>
      <c r="E20" s="19"/>
      <c r="F20" s="14"/>
      <c r="G20" s="12"/>
      <c r="H20" s="12"/>
      <c r="I20" s="29"/>
      <c r="J20" s="29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  <row r="24" spans="1:10" x14ac:dyDescent="0.15">
      <c r="A24" s="11" t="s">
        <v>0</v>
      </c>
      <c r="B24" s="11" t="s">
        <v>86</v>
      </c>
      <c r="C24" s="11" t="s">
        <v>87</v>
      </c>
      <c r="D24" s="11" t="s">
        <v>88</v>
      </c>
      <c r="E24" s="11" t="s">
        <v>89</v>
      </c>
      <c r="F24" s="11" t="s">
        <v>90</v>
      </c>
      <c r="G24" s="11" t="s">
        <v>91</v>
      </c>
      <c r="H24" s="11" t="s">
        <v>92</v>
      </c>
      <c r="I24" s="11" t="s">
        <v>93</v>
      </c>
      <c r="J24" s="11" t="s">
        <v>69</v>
      </c>
    </row>
    <row r="25" spans="1:10" x14ac:dyDescent="0.15">
      <c r="A25" s="12">
        <f>ROW(A17)-ROW(A$16)</f>
        <v>1</v>
      </c>
      <c r="B25" s="18"/>
      <c r="C25" s="18"/>
      <c r="D25" s="18"/>
      <c r="E25" s="18"/>
      <c r="F25" s="18"/>
      <c r="G25" s="18"/>
      <c r="H25" s="18"/>
      <c r="I25" s="20"/>
      <c r="J25" s="18"/>
    </row>
    <row r="26" spans="1:10" x14ac:dyDescent="0.15">
      <c r="A26" s="22" t="s">
        <v>6</v>
      </c>
      <c r="B26" s="22" t="s">
        <v>6</v>
      </c>
      <c r="C26" s="22" t="s">
        <v>6</v>
      </c>
      <c r="D26" s="13" t="s">
        <v>6</v>
      </c>
      <c r="E26" s="13" t="s">
        <v>6</v>
      </c>
      <c r="F26" s="13" t="s">
        <v>6</v>
      </c>
      <c r="G26" s="13" t="s">
        <v>6</v>
      </c>
      <c r="H26" s="13" t="s">
        <v>6</v>
      </c>
      <c r="I26" s="13" t="s">
        <v>6</v>
      </c>
      <c r="J26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8.875" bestFit="1" customWidth="1"/>
    <col min="3" max="3" width="10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805</v>
      </c>
      <c r="C1" s="24" t="str">
        <f>INDEX(目录!D:D,MATCH(B1,目录!E:E,0))</f>
        <v>活动记录表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804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743</v>
      </c>
      <c r="C9" s="18" t="s">
        <v>744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234</v>
      </c>
      <c r="C10" s="18" t="s">
        <v>752</v>
      </c>
      <c r="D10" s="18" t="s">
        <v>400</v>
      </c>
      <c r="E10" s="19">
        <v>1024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806</v>
      </c>
      <c r="C11" s="18" t="s">
        <v>806</v>
      </c>
      <c r="D11" s="18" t="s">
        <v>81</v>
      </c>
      <c r="E11" s="19">
        <v>10</v>
      </c>
      <c r="F11" s="14"/>
      <c r="G11" s="12"/>
      <c r="H11" s="12"/>
      <c r="I11" s="29" t="s">
        <v>188</v>
      </c>
      <c r="J11" s="29"/>
    </row>
    <row r="12" spans="1:10" x14ac:dyDescent="0.15">
      <c r="A12" s="12">
        <f>ROW(A8)-ROW(A$7)</f>
        <v>5</v>
      </c>
      <c r="B12" s="18" t="s">
        <v>127</v>
      </c>
      <c r="C12" s="18" t="s">
        <v>745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346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224</v>
      </c>
      <c r="C14" s="18" t="s">
        <v>807</v>
      </c>
      <c r="D14" s="18" t="s">
        <v>179</v>
      </c>
      <c r="E14" s="19">
        <v>64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808</v>
      </c>
      <c r="C15" s="18" t="s">
        <v>809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/>
  </sheetViews>
  <sheetFormatPr defaultRowHeight="13.5" x14ac:dyDescent="0.15"/>
  <cols>
    <col min="1" max="1" width="4.875" bestFit="1" customWidth="1"/>
    <col min="2" max="2" width="18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811</v>
      </c>
      <c r="C1" s="24" t="str">
        <f>INDEX(目录!D:D,MATCH(B1,目录!E:E,0))</f>
        <v>活动报表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810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743</v>
      </c>
      <c r="C9" s="18" t="s">
        <v>744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234</v>
      </c>
      <c r="C10" s="18" t="s">
        <v>752</v>
      </c>
      <c r="D10" s="18" t="s">
        <v>78</v>
      </c>
      <c r="E10" s="19">
        <v>65535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453</v>
      </c>
      <c r="C11" s="18" t="s">
        <v>773</v>
      </c>
      <c r="D11" s="18" t="s">
        <v>75</v>
      </c>
      <c r="E11" s="19">
        <v>255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774</v>
      </c>
      <c r="C12" s="18" t="s">
        <v>812</v>
      </c>
      <c r="D12" s="18" t="s">
        <v>81</v>
      </c>
      <c r="E12" s="19">
        <v>10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813</v>
      </c>
      <c r="C13" s="18" t="s">
        <v>814</v>
      </c>
      <c r="D13" s="18" t="s">
        <v>81</v>
      </c>
      <c r="E13" s="19">
        <v>10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815</v>
      </c>
      <c r="C14" s="18" t="s">
        <v>816</v>
      </c>
      <c r="D14" s="18" t="s">
        <v>81</v>
      </c>
      <c r="E14" s="19">
        <v>10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127</v>
      </c>
      <c r="C15" s="18" t="s">
        <v>745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139</v>
      </c>
      <c r="C16" s="18" t="s">
        <v>321</v>
      </c>
      <c r="D16" s="18" t="s">
        <v>72</v>
      </c>
      <c r="E16" s="19">
        <v>19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/>
      <c r="C17" s="18"/>
      <c r="D17" s="18"/>
      <c r="E17" s="19"/>
      <c r="F17" s="14"/>
      <c r="G17" s="12"/>
      <c r="H17" s="12"/>
      <c r="I17" s="29"/>
      <c r="J17" s="29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  <row r="21" spans="1:10" x14ac:dyDescent="0.15">
      <c r="A21" s="11" t="s">
        <v>0</v>
      </c>
      <c r="B21" s="11" t="s">
        <v>86</v>
      </c>
      <c r="C21" s="11" t="s">
        <v>87</v>
      </c>
      <c r="D21" s="11" t="s">
        <v>88</v>
      </c>
      <c r="E21" s="11" t="s">
        <v>89</v>
      </c>
      <c r="F21" s="11" t="s">
        <v>90</v>
      </c>
      <c r="G21" s="11" t="s">
        <v>91</v>
      </c>
      <c r="H21" s="11" t="s">
        <v>92</v>
      </c>
      <c r="I21" s="11" t="s">
        <v>93</v>
      </c>
      <c r="J21" s="11" t="s">
        <v>69</v>
      </c>
    </row>
    <row r="22" spans="1:10" x14ac:dyDescent="0.15">
      <c r="A22" s="12">
        <f>ROW(A17)-ROW(A$16)</f>
        <v>1</v>
      </c>
      <c r="B22" s="18"/>
      <c r="C22" s="18"/>
      <c r="D22" s="18"/>
      <c r="E22" s="18"/>
      <c r="F22" s="18"/>
      <c r="G22" s="18"/>
      <c r="H22" s="18"/>
      <c r="I22" s="20"/>
      <c r="J22" s="18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16.875" bestFit="1" customWidth="1"/>
    <col min="3" max="3" width="19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818</v>
      </c>
      <c r="C1" s="24" t="str">
        <f>INDEX(目录!D:D,MATCH(B1,目录!E:E,0))</f>
        <v>活动参与表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817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743</v>
      </c>
      <c r="C9" s="18" t="s">
        <v>744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745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819</v>
      </c>
      <c r="C11" s="18" t="s">
        <v>820</v>
      </c>
      <c r="D11" s="18" t="s">
        <v>138</v>
      </c>
      <c r="E11" s="19">
        <v>3</v>
      </c>
      <c r="F11" s="14"/>
      <c r="G11" s="12"/>
      <c r="H11" s="12"/>
      <c r="I11" s="29" t="s">
        <v>188</v>
      </c>
      <c r="J11" s="29"/>
    </row>
    <row r="12" spans="1:10" x14ac:dyDescent="0.15">
      <c r="A12" s="12">
        <f>ROW(A8)-ROW(A$7)</f>
        <v>5</v>
      </c>
      <c r="B12" s="18" t="s">
        <v>726</v>
      </c>
      <c r="C12" s="18" t="s">
        <v>727</v>
      </c>
      <c r="D12" s="18" t="s">
        <v>559</v>
      </c>
      <c r="E12" s="19">
        <v>12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731</v>
      </c>
      <c r="C13" s="18" t="s">
        <v>732</v>
      </c>
      <c r="D13" s="18" t="s">
        <v>559</v>
      </c>
      <c r="E13" s="19">
        <v>12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139</v>
      </c>
      <c r="C14" s="18" t="s">
        <v>321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7"/>
  <sheetViews>
    <sheetView workbookViewId="0"/>
  </sheetViews>
  <sheetFormatPr defaultRowHeight="13.5" x14ac:dyDescent="0.15"/>
  <cols>
    <col min="1" max="1" width="4.875" bestFit="1" customWidth="1"/>
    <col min="2" max="2" width="18.875" bestFit="1" customWidth="1"/>
    <col min="3" max="3" width="16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822</v>
      </c>
      <c r="C1" s="24" t="str">
        <f>INDEX(目录!D:D,MATCH(B1,目录!E:E,0))</f>
        <v>活动报名表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821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743</v>
      </c>
      <c r="C9" s="18" t="s">
        <v>744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745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615</v>
      </c>
      <c r="C11" s="18" t="s">
        <v>823</v>
      </c>
      <c r="D11" s="18" t="s">
        <v>163</v>
      </c>
      <c r="E11" s="19">
        <v>16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824</v>
      </c>
      <c r="C12" s="18" t="s">
        <v>825</v>
      </c>
      <c r="D12" s="18" t="s">
        <v>75</v>
      </c>
      <c r="E12" s="19">
        <v>255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826</v>
      </c>
      <c r="C13" s="18" t="s">
        <v>827</v>
      </c>
      <c r="D13" s="18" t="s">
        <v>206</v>
      </c>
      <c r="E13" s="19">
        <v>32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139</v>
      </c>
      <c r="C14" s="18" t="s">
        <v>321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819</v>
      </c>
      <c r="C15" s="18" t="s">
        <v>828</v>
      </c>
      <c r="D15" s="18" t="s">
        <v>325</v>
      </c>
      <c r="E15" s="19">
        <v>64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224</v>
      </c>
      <c r="C16" s="18" t="s">
        <v>754</v>
      </c>
      <c r="D16" s="18" t="s">
        <v>325</v>
      </c>
      <c r="E16" s="19">
        <v>64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475</v>
      </c>
      <c r="C17" s="18" t="s">
        <v>476</v>
      </c>
      <c r="D17" s="18" t="s">
        <v>72</v>
      </c>
      <c r="E17" s="19">
        <v>19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477</v>
      </c>
      <c r="C18" s="18" t="s">
        <v>478</v>
      </c>
      <c r="D18" s="18" t="s">
        <v>72</v>
      </c>
      <c r="E18" s="19">
        <v>19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829</v>
      </c>
      <c r="C19" s="18" t="s">
        <v>830</v>
      </c>
      <c r="D19" s="18" t="s">
        <v>138</v>
      </c>
      <c r="E19" s="19">
        <v>3</v>
      </c>
      <c r="F19" s="14"/>
      <c r="G19" s="12"/>
      <c r="H19" s="12"/>
      <c r="I19" s="29" t="s">
        <v>188</v>
      </c>
      <c r="J19" s="29"/>
    </row>
    <row r="20" spans="1:10" x14ac:dyDescent="0.15">
      <c r="A20" s="12">
        <f>ROW(A8)-ROW(A$7)</f>
        <v>13</v>
      </c>
      <c r="B20" s="18"/>
      <c r="C20" s="18"/>
      <c r="D20" s="18"/>
      <c r="E20" s="19"/>
      <c r="F20" s="14"/>
      <c r="G20" s="12"/>
      <c r="H20" s="12"/>
      <c r="I20" s="29"/>
      <c r="J20" s="29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  <row r="24" spans="1:10" x14ac:dyDescent="0.15">
      <c r="A24" s="11" t="s">
        <v>0</v>
      </c>
      <c r="B24" s="11" t="s">
        <v>86</v>
      </c>
      <c r="C24" s="11" t="s">
        <v>87</v>
      </c>
      <c r="D24" s="11" t="s">
        <v>88</v>
      </c>
      <c r="E24" s="11" t="s">
        <v>89</v>
      </c>
      <c r="F24" s="11" t="s">
        <v>90</v>
      </c>
      <c r="G24" s="11" t="s">
        <v>91</v>
      </c>
      <c r="H24" s="11" t="s">
        <v>92</v>
      </c>
      <c r="I24" s="11" t="s">
        <v>93</v>
      </c>
      <c r="J24" s="11" t="s">
        <v>69</v>
      </c>
    </row>
    <row r="25" spans="1:10" x14ac:dyDescent="0.15">
      <c r="A25" s="12">
        <f>ROW(A17)-ROW(A$16)</f>
        <v>1</v>
      </c>
      <c r="B25" s="18" t="s">
        <v>831</v>
      </c>
      <c r="C25" s="18" t="s">
        <v>743</v>
      </c>
      <c r="D25" s="18" t="s">
        <v>127</v>
      </c>
      <c r="E25" s="18"/>
      <c r="F25" s="18"/>
      <c r="G25" s="18"/>
      <c r="H25" s="18"/>
      <c r="I25" s="20" t="s">
        <v>15</v>
      </c>
      <c r="J25" s="18" t="s">
        <v>96</v>
      </c>
    </row>
    <row r="26" spans="1:10" x14ac:dyDescent="0.15">
      <c r="A26" s="12">
        <f>ROW(A17)-ROW(A$16)</f>
        <v>1</v>
      </c>
      <c r="B26" s="18"/>
      <c r="C26" s="18"/>
      <c r="D26" s="18"/>
      <c r="E26" s="18"/>
      <c r="F26" s="18"/>
      <c r="G26" s="18"/>
      <c r="H26" s="18"/>
      <c r="I26" s="20"/>
      <c r="J26" s="18"/>
    </row>
    <row r="27" spans="1:10" x14ac:dyDescent="0.15">
      <c r="A27" s="22" t="s">
        <v>6</v>
      </c>
      <c r="B27" s="22" t="s">
        <v>6</v>
      </c>
      <c r="C27" s="22" t="s">
        <v>6</v>
      </c>
      <c r="D27" s="13" t="s">
        <v>6</v>
      </c>
      <c r="E27" s="13" t="s">
        <v>6</v>
      </c>
      <c r="F27" s="13" t="s">
        <v>6</v>
      </c>
      <c r="G27" s="13" t="s">
        <v>6</v>
      </c>
      <c r="H27" s="13" t="s">
        <v>6</v>
      </c>
      <c r="I27" s="13" t="s">
        <v>6</v>
      </c>
      <c r="J2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24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832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743</v>
      </c>
      <c r="C9" s="18" t="s">
        <v>744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726</v>
      </c>
      <c r="C10" s="18" t="s">
        <v>727</v>
      </c>
      <c r="D10" s="18" t="s">
        <v>559</v>
      </c>
      <c r="E10" s="19">
        <v>12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731</v>
      </c>
      <c r="C11" s="18" t="s">
        <v>732</v>
      </c>
      <c r="D11" s="18" t="s">
        <v>559</v>
      </c>
      <c r="E11" s="19">
        <v>12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833</v>
      </c>
      <c r="C12" s="18" t="s">
        <v>738</v>
      </c>
      <c r="D12" s="18" t="s">
        <v>75</v>
      </c>
      <c r="E12" s="19">
        <v>255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127</v>
      </c>
      <c r="C13" s="18" t="s">
        <v>745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139</v>
      </c>
      <c r="C14" s="18" t="s">
        <v>321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20.875" bestFit="1" customWidth="1"/>
    <col min="3" max="3" width="25.875" bestFit="1" customWidth="1"/>
    <col min="4" max="4" width="11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835</v>
      </c>
      <c r="C1" s="24" t="str">
        <f>INDEX(目录!D:D,MATCH(B1,目录!E:E,0))</f>
        <v>活动模板表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834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836</v>
      </c>
      <c r="D8" s="18" t="s">
        <v>98</v>
      </c>
      <c r="E8" s="19">
        <v>36</v>
      </c>
      <c r="F8" s="14"/>
      <c r="G8" s="12" t="s">
        <v>15</v>
      </c>
      <c r="H8" s="12" t="s">
        <v>15</v>
      </c>
      <c r="I8" s="29"/>
      <c r="J8" s="29"/>
    </row>
    <row r="9" spans="1:10" x14ac:dyDescent="0.15">
      <c r="A9" s="12">
        <f>ROW(A8)-ROW(A$7)</f>
        <v>2</v>
      </c>
      <c r="B9" s="18" t="s">
        <v>328</v>
      </c>
      <c r="C9" s="18" t="s">
        <v>837</v>
      </c>
      <c r="D9" s="18" t="s">
        <v>179</v>
      </c>
      <c r="E9" s="19">
        <v>64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232</v>
      </c>
      <c r="C10" s="18" t="s">
        <v>838</v>
      </c>
      <c r="D10" s="18" t="s">
        <v>179</v>
      </c>
      <c r="E10" s="19">
        <v>64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824</v>
      </c>
      <c r="C11" s="18" t="s">
        <v>839</v>
      </c>
      <c r="D11" s="18" t="s">
        <v>179</v>
      </c>
      <c r="E11" s="19">
        <v>64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840</v>
      </c>
      <c r="C12" s="18" t="s">
        <v>841</v>
      </c>
      <c r="D12" s="18" t="s">
        <v>179</v>
      </c>
      <c r="E12" s="19">
        <v>64</v>
      </c>
      <c r="F12" s="14"/>
      <c r="G12" s="12"/>
      <c r="H12" s="12" t="s">
        <v>15</v>
      </c>
      <c r="I12" s="29"/>
      <c r="J12" s="29"/>
    </row>
    <row r="13" spans="1:10" x14ac:dyDescent="0.15">
      <c r="A13" s="12">
        <f>ROW(A8)-ROW(A$7)</f>
        <v>6</v>
      </c>
      <c r="B13" s="18" t="s">
        <v>842</v>
      </c>
      <c r="C13" s="18" t="s">
        <v>843</v>
      </c>
      <c r="D13" s="18" t="s">
        <v>81</v>
      </c>
      <c r="E13" s="19">
        <v>10</v>
      </c>
      <c r="F13" s="14"/>
      <c r="G13" s="12"/>
      <c r="H13" s="12"/>
      <c r="I13" s="29" t="s">
        <v>188</v>
      </c>
      <c r="J13" s="29"/>
    </row>
    <row r="14" spans="1:10" x14ac:dyDescent="0.15">
      <c r="A14" s="12">
        <f>ROW(A8)-ROW(A$7)</f>
        <v>7</v>
      </c>
      <c r="B14" s="18" t="s">
        <v>139</v>
      </c>
      <c r="C14" s="18" t="s">
        <v>346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0"/>
  <sheetViews>
    <sheetView workbookViewId="0"/>
  </sheetViews>
  <sheetFormatPr defaultRowHeight="13.5" x14ac:dyDescent="0.15"/>
  <cols>
    <col min="1" max="1" width="4.875" bestFit="1" customWidth="1"/>
    <col min="2" max="2" width="14.875" bestFit="1" customWidth="1"/>
    <col min="3" max="3" width="21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845</v>
      </c>
      <c r="C1" s="24" t="str">
        <f>INDEX(目录!D:D,MATCH(B1,目录!E:E,0))</f>
        <v>志愿服务证书信息表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844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664</v>
      </c>
      <c r="C9" s="18" t="s">
        <v>846</v>
      </c>
      <c r="D9" s="18" t="s">
        <v>847</v>
      </c>
      <c r="E9" s="19">
        <v>32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745</v>
      </c>
      <c r="D10" s="18" t="s">
        <v>72</v>
      </c>
      <c r="E10" s="19">
        <v>19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 t="s">
        <v>615</v>
      </c>
      <c r="C11" s="18" t="s">
        <v>848</v>
      </c>
      <c r="D11" s="18" t="s">
        <v>179</v>
      </c>
      <c r="E11" s="19">
        <v>64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849</v>
      </c>
      <c r="C12" s="18" t="s">
        <v>850</v>
      </c>
      <c r="D12" s="18" t="s">
        <v>851</v>
      </c>
      <c r="E12" s="19">
        <v>1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852</v>
      </c>
      <c r="C13" s="18" t="s">
        <v>853</v>
      </c>
      <c r="D13" s="18" t="s">
        <v>206</v>
      </c>
      <c r="E13" s="19">
        <v>32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537</v>
      </c>
      <c r="C14" s="18" t="s">
        <v>854</v>
      </c>
      <c r="D14" s="18" t="s">
        <v>179</v>
      </c>
      <c r="E14" s="19">
        <v>64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855</v>
      </c>
      <c r="C15" s="18" t="s">
        <v>856</v>
      </c>
      <c r="D15" s="18" t="s">
        <v>857</v>
      </c>
      <c r="E15" s="19">
        <v>18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858</v>
      </c>
      <c r="C16" s="18" t="s">
        <v>702</v>
      </c>
      <c r="D16" s="18" t="s">
        <v>559</v>
      </c>
      <c r="E16" s="19">
        <v>12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859</v>
      </c>
      <c r="C17" s="18" t="s">
        <v>860</v>
      </c>
      <c r="D17" s="18" t="s">
        <v>166</v>
      </c>
      <c r="E17" s="19">
        <v>128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861</v>
      </c>
      <c r="C18" s="18" t="s">
        <v>862</v>
      </c>
      <c r="D18" s="18" t="s">
        <v>166</v>
      </c>
      <c r="E18" s="19">
        <v>128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863</v>
      </c>
      <c r="C19" s="18" t="s">
        <v>864</v>
      </c>
      <c r="D19" s="18" t="s">
        <v>166</v>
      </c>
      <c r="E19" s="19">
        <v>128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865</v>
      </c>
      <c r="C20" s="18" t="s">
        <v>866</v>
      </c>
      <c r="D20" s="18" t="s">
        <v>735</v>
      </c>
      <c r="E20" s="19">
        <v>19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867</v>
      </c>
      <c r="C21" s="18" t="s">
        <v>868</v>
      </c>
      <c r="D21" s="18" t="s">
        <v>735</v>
      </c>
      <c r="E21" s="19">
        <v>19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869</v>
      </c>
      <c r="C22" s="18" t="s">
        <v>870</v>
      </c>
      <c r="D22" s="18" t="s">
        <v>735</v>
      </c>
      <c r="E22" s="19">
        <v>19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871</v>
      </c>
      <c r="C23" s="18" t="s">
        <v>2</v>
      </c>
      <c r="D23" s="18" t="s">
        <v>400</v>
      </c>
      <c r="E23" s="19">
        <v>1024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/>
      <c r="C24" s="18"/>
      <c r="D24" s="18"/>
      <c r="E24" s="19"/>
      <c r="F24" s="14"/>
      <c r="G24" s="12"/>
      <c r="H24" s="12"/>
      <c r="I24" s="29"/>
      <c r="J24" s="29"/>
    </row>
    <row r="25" spans="1:10" x14ac:dyDescent="0.15">
      <c r="A25" s="22" t="s">
        <v>6</v>
      </c>
      <c r="B25" s="22" t="s">
        <v>6</v>
      </c>
      <c r="C25" s="22" t="s">
        <v>6</v>
      </c>
      <c r="D25" s="13" t="s">
        <v>6</v>
      </c>
      <c r="E25" s="13" t="s">
        <v>6</v>
      </c>
      <c r="F25" s="13" t="s">
        <v>6</v>
      </c>
      <c r="G25" s="13" t="s">
        <v>6</v>
      </c>
      <c r="H25" s="13" t="s">
        <v>6</v>
      </c>
      <c r="I25" s="13" t="s">
        <v>6</v>
      </c>
      <c r="J25" s="13" t="s">
        <v>6</v>
      </c>
    </row>
    <row r="28" spans="1:10" x14ac:dyDescent="0.15">
      <c r="A28" s="11" t="s">
        <v>0</v>
      </c>
      <c r="B28" s="11" t="s">
        <v>86</v>
      </c>
      <c r="C28" s="11" t="s">
        <v>87</v>
      </c>
      <c r="D28" s="11" t="s">
        <v>88</v>
      </c>
      <c r="E28" s="11" t="s">
        <v>89</v>
      </c>
      <c r="F28" s="11" t="s">
        <v>90</v>
      </c>
      <c r="G28" s="11" t="s">
        <v>91</v>
      </c>
      <c r="H28" s="11" t="s">
        <v>92</v>
      </c>
      <c r="I28" s="11" t="s">
        <v>93</v>
      </c>
      <c r="J28" s="11" t="s">
        <v>69</v>
      </c>
    </row>
    <row r="29" spans="1:10" x14ac:dyDescent="0.15">
      <c r="A29" s="12">
        <f>ROW(A17)-ROW(A$16)</f>
        <v>1</v>
      </c>
      <c r="B29" s="18"/>
      <c r="C29" s="18"/>
      <c r="D29" s="18"/>
      <c r="E29" s="18"/>
      <c r="F29" s="18"/>
      <c r="G29" s="18"/>
      <c r="H29" s="18"/>
      <c r="I29" s="20"/>
      <c r="J29" s="18"/>
    </row>
    <row r="30" spans="1:10" x14ac:dyDescent="0.15">
      <c r="A30" s="22" t="s">
        <v>6</v>
      </c>
      <c r="B30" s="22" t="s">
        <v>6</v>
      </c>
      <c r="C30" s="22" t="s">
        <v>6</v>
      </c>
      <c r="D30" s="13" t="s">
        <v>6</v>
      </c>
      <c r="E30" s="13" t="s">
        <v>6</v>
      </c>
      <c r="F30" s="13" t="s">
        <v>6</v>
      </c>
      <c r="G30" s="13" t="s">
        <v>6</v>
      </c>
      <c r="H30" s="13" t="s">
        <v>6</v>
      </c>
      <c r="I30" s="13" t="s">
        <v>6</v>
      </c>
      <c r="J3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9"/>
  <sheetViews>
    <sheetView workbookViewId="0"/>
  </sheetViews>
  <sheetFormatPr defaultRowHeight="13.5" x14ac:dyDescent="0.15"/>
  <cols>
    <col min="1" max="1" width="4.875" bestFit="1" customWidth="1"/>
    <col min="2" max="2" width="26.875" bestFit="1" customWidth="1"/>
    <col min="3" max="3" width="34.875" bestFit="1" customWidth="1"/>
    <col min="4" max="4" width="13.875" bestFit="1" customWidth="1"/>
    <col min="5" max="5" width="8.875" bestFit="1" customWidth="1"/>
    <col min="6" max="6" width="11.875" bestFit="1" customWidth="1"/>
    <col min="7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873</v>
      </c>
      <c r="C1" s="24" t="str">
        <f>INDEX(目录!D:D,MATCH(B1,目录!E:E,0))</f>
        <v>审核信息表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872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874</v>
      </c>
      <c r="D9" s="18" t="s">
        <v>325</v>
      </c>
      <c r="E9" s="19">
        <v>64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462</v>
      </c>
      <c r="C10" s="18" t="s">
        <v>875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208</v>
      </c>
      <c r="C11" s="18" t="s">
        <v>427</v>
      </c>
      <c r="D11" s="18" t="s">
        <v>109</v>
      </c>
      <c r="E11" s="19">
        <v>200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234</v>
      </c>
      <c r="C12" s="18" t="s">
        <v>876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877</v>
      </c>
      <c r="C13" s="18" t="s">
        <v>878</v>
      </c>
      <c r="D13" s="18" t="s">
        <v>218</v>
      </c>
      <c r="E13" s="19">
        <v>512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879</v>
      </c>
      <c r="C14" s="18" t="s">
        <v>880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881</v>
      </c>
      <c r="C15" s="18" t="s">
        <v>882</v>
      </c>
      <c r="D15" s="18" t="s">
        <v>179</v>
      </c>
      <c r="E15" s="19">
        <v>64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819</v>
      </c>
      <c r="C16" s="18" t="s">
        <v>883</v>
      </c>
      <c r="D16" s="18" t="s">
        <v>325</v>
      </c>
      <c r="E16" s="19">
        <v>64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487</v>
      </c>
      <c r="C17" s="18" t="s">
        <v>884</v>
      </c>
      <c r="D17" s="18" t="s">
        <v>400</v>
      </c>
      <c r="E17" s="19">
        <v>1024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127</v>
      </c>
      <c r="C18" s="18" t="s">
        <v>885</v>
      </c>
      <c r="D18" s="18" t="s">
        <v>72</v>
      </c>
      <c r="E18" s="19">
        <v>19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886</v>
      </c>
      <c r="C19" s="18" t="s">
        <v>887</v>
      </c>
      <c r="D19" s="18" t="s">
        <v>72</v>
      </c>
      <c r="E19" s="19">
        <v>19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139</v>
      </c>
      <c r="C20" s="18" t="s">
        <v>321</v>
      </c>
      <c r="D20" s="18" t="s">
        <v>72</v>
      </c>
      <c r="E20" s="19">
        <v>19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/>
      <c r="C21" s="18"/>
      <c r="D21" s="18"/>
      <c r="E21" s="19"/>
      <c r="F21" s="14"/>
      <c r="G21" s="12"/>
      <c r="H21" s="12"/>
      <c r="I21" s="29"/>
      <c r="J21" s="29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  <row r="25" spans="1:10" x14ac:dyDescent="0.15">
      <c r="A25" s="11" t="s">
        <v>0</v>
      </c>
      <c r="B25" s="11" t="s">
        <v>86</v>
      </c>
      <c r="C25" s="11" t="s">
        <v>87</v>
      </c>
      <c r="D25" s="11" t="s">
        <v>88</v>
      </c>
      <c r="E25" s="11" t="s">
        <v>89</v>
      </c>
      <c r="F25" s="11" t="s">
        <v>90</v>
      </c>
      <c r="G25" s="11" t="s">
        <v>91</v>
      </c>
      <c r="H25" s="11" t="s">
        <v>92</v>
      </c>
      <c r="I25" s="11" t="s">
        <v>93</v>
      </c>
      <c r="J25" s="11" t="s">
        <v>69</v>
      </c>
    </row>
    <row r="26" spans="1:10" x14ac:dyDescent="0.15">
      <c r="A26" s="12">
        <f>ROW(A17)-ROW(A$16)</f>
        <v>1</v>
      </c>
      <c r="B26" s="18" t="s">
        <v>888</v>
      </c>
      <c r="C26" s="18" t="s">
        <v>328</v>
      </c>
      <c r="D26" s="18" t="s">
        <v>462</v>
      </c>
      <c r="E26" s="18" t="s">
        <v>819</v>
      </c>
      <c r="F26" s="18" t="s">
        <v>139</v>
      </c>
      <c r="G26" s="18"/>
      <c r="H26" s="18"/>
      <c r="I26" s="20" t="s">
        <v>95</v>
      </c>
      <c r="J26" s="18" t="s">
        <v>96</v>
      </c>
    </row>
    <row r="27" spans="1:10" x14ac:dyDescent="0.15">
      <c r="A27" s="12">
        <f>ROW(A17)-ROW(A$16)</f>
        <v>2</v>
      </c>
      <c r="B27" s="18" t="s">
        <v>889</v>
      </c>
      <c r="C27" s="18" t="s">
        <v>328</v>
      </c>
      <c r="D27" s="18" t="s">
        <v>462</v>
      </c>
      <c r="E27" s="18" t="s">
        <v>819</v>
      </c>
      <c r="F27" s="18"/>
      <c r="G27" s="18"/>
      <c r="H27" s="18"/>
      <c r="I27" s="20" t="s">
        <v>95</v>
      </c>
      <c r="J27" s="18" t="s">
        <v>96</v>
      </c>
    </row>
    <row r="28" spans="1:10" x14ac:dyDescent="0.15">
      <c r="A28" s="12">
        <f>ROW(A17)-ROW(A$16)</f>
        <v>1</v>
      </c>
      <c r="B28" s="18"/>
      <c r="C28" s="18"/>
      <c r="D28" s="18"/>
      <c r="E28" s="18"/>
      <c r="F28" s="18"/>
      <c r="G28" s="18"/>
      <c r="H28" s="18"/>
      <c r="I28" s="20"/>
      <c r="J28" s="18"/>
    </row>
    <row r="29" spans="1:10" x14ac:dyDescent="0.15">
      <c r="A29" s="22" t="s">
        <v>6</v>
      </c>
      <c r="B29" s="22" t="s">
        <v>6</v>
      </c>
      <c r="C29" s="22" t="s">
        <v>6</v>
      </c>
      <c r="D29" s="13" t="s">
        <v>6</v>
      </c>
      <c r="E29" s="13" t="s">
        <v>6</v>
      </c>
      <c r="F29" s="13" t="s">
        <v>6</v>
      </c>
      <c r="G29" s="13" t="s">
        <v>6</v>
      </c>
      <c r="H29" s="13" t="s">
        <v>6</v>
      </c>
      <c r="I29" s="13" t="s">
        <v>6</v>
      </c>
      <c r="J29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22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891</v>
      </c>
      <c r="C1" s="24" t="str">
        <f>INDEX(目录!D:D,MATCH(B1,目录!E:E,0))</f>
        <v>表彰奖励信息表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890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892</v>
      </c>
      <c r="C9" s="18" t="s">
        <v>893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894</v>
      </c>
      <c r="C10" s="18" t="s">
        <v>895</v>
      </c>
      <c r="D10" s="18" t="s">
        <v>400</v>
      </c>
      <c r="E10" s="19">
        <v>1024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453</v>
      </c>
      <c r="C11" s="18" t="s">
        <v>896</v>
      </c>
      <c r="D11" s="18" t="s">
        <v>166</v>
      </c>
      <c r="E11" s="19">
        <v>128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897</v>
      </c>
      <c r="C12" s="18" t="s">
        <v>898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234</v>
      </c>
      <c r="C13" s="18" t="s">
        <v>899</v>
      </c>
      <c r="D13" s="18" t="s">
        <v>400</v>
      </c>
      <c r="E13" s="19">
        <v>1024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900</v>
      </c>
      <c r="C14" s="18" t="s">
        <v>901</v>
      </c>
      <c r="D14" s="18" t="s">
        <v>166</v>
      </c>
      <c r="E14" s="19">
        <v>128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21.875" bestFit="1" customWidth="1"/>
    <col min="3" max="3" width="16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902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453</v>
      </c>
      <c r="C9" s="18" t="s">
        <v>903</v>
      </c>
      <c r="D9" s="18" t="s">
        <v>445</v>
      </c>
      <c r="E9" s="19">
        <v>63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234</v>
      </c>
      <c r="C10" s="18" t="s">
        <v>904</v>
      </c>
      <c r="D10" s="18" t="s">
        <v>78</v>
      </c>
      <c r="E10" s="19">
        <v>65535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905</v>
      </c>
      <c r="C11" s="18" t="s">
        <v>906</v>
      </c>
      <c r="D11" s="18" t="s">
        <v>78</v>
      </c>
      <c r="E11" s="19">
        <v>65535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907</v>
      </c>
      <c r="C12" s="18" t="s">
        <v>908</v>
      </c>
      <c r="D12" s="18" t="s">
        <v>909</v>
      </c>
      <c r="E12" s="19">
        <v>8</v>
      </c>
      <c r="F12" s="14">
        <v>2</v>
      </c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910</v>
      </c>
      <c r="C13" s="18" t="s">
        <v>402</v>
      </c>
      <c r="D13" s="18" t="s">
        <v>81</v>
      </c>
      <c r="E13" s="19">
        <v>10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6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912</v>
      </c>
      <c r="C1" s="24" t="str">
        <f>INDEX(目录!D:D,MATCH(B1,目录!E:E,0))</f>
        <v>评价投诉信息表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911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173</v>
      </c>
      <c r="C9" s="18" t="s">
        <v>913</v>
      </c>
      <c r="D9" s="18" t="s">
        <v>166</v>
      </c>
      <c r="E9" s="19">
        <v>128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234</v>
      </c>
      <c r="C10" s="18" t="s">
        <v>914</v>
      </c>
      <c r="D10" s="18" t="s">
        <v>400</v>
      </c>
      <c r="E10" s="19">
        <v>1024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915</v>
      </c>
      <c r="C11" s="18" t="s">
        <v>916</v>
      </c>
      <c r="D11" s="18" t="s">
        <v>166</v>
      </c>
      <c r="E11" s="19">
        <v>128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917</v>
      </c>
      <c r="C12" s="18" t="s">
        <v>918</v>
      </c>
      <c r="D12" s="18" t="s">
        <v>735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819</v>
      </c>
      <c r="C13" s="18" t="s">
        <v>919</v>
      </c>
      <c r="D13" s="18" t="s">
        <v>669</v>
      </c>
      <c r="E13" s="19">
        <v>2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462</v>
      </c>
      <c r="C14" s="18" t="s">
        <v>920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861</v>
      </c>
      <c r="C15" s="18" t="s">
        <v>921</v>
      </c>
      <c r="D15" s="18" t="s">
        <v>166</v>
      </c>
      <c r="E15" s="19">
        <v>128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487</v>
      </c>
      <c r="C16" s="18" t="s">
        <v>922</v>
      </c>
      <c r="D16" s="18" t="s">
        <v>400</v>
      </c>
      <c r="E16" s="19">
        <v>1024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923</v>
      </c>
      <c r="C17" s="18" t="s">
        <v>496</v>
      </c>
      <c r="D17" s="18" t="s">
        <v>735</v>
      </c>
      <c r="E17" s="19">
        <v>19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/>
      <c r="C18" s="18"/>
      <c r="D18" s="18"/>
      <c r="E18" s="19"/>
      <c r="F18" s="14"/>
      <c r="G18" s="12"/>
      <c r="H18" s="12"/>
      <c r="I18" s="29"/>
      <c r="J18" s="29"/>
    </row>
    <row r="19" spans="1:10" x14ac:dyDescent="0.15">
      <c r="A19" s="22" t="s">
        <v>6</v>
      </c>
      <c r="B19" s="22" t="s">
        <v>6</v>
      </c>
      <c r="C19" s="22" t="s">
        <v>6</v>
      </c>
      <c r="D19" s="13" t="s">
        <v>6</v>
      </c>
      <c r="E19" s="13" t="s">
        <v>6</v>
      </c>
      <c r="F19" s="13" t="s">
        <v>6</v>
      </c>
      <c r="G19" s="13" t="s">
        <v>6</v>
      </c>
      <c r="H19" s="13" t="s">
        <v>6</v>
      </c>
      <c r="I19" s="13" t="s">
        <v>6</v>
      </c>
      <c r="J19" s="13" t="s">
        <v>6</v>
      </c>
    </row>
    <row r="22" spans="1:10" x14ac:dyDescent="0.15">
      <c r="A22" s="11" t="s">
        <v>0</v>
      </c>
      <c r="B22" s="11" t="s">
        <v>86</v>
      </c>
      <c r="C22" s="11" t="s">
        <v>87</v>
      </c>
      <c r="D22" s="11" t="s">
        <v>88</v>
      </c>
      <c r="E22" s="11" t="s">
        <v>89</v>
      </c>
      <c r="F22" s="11" t="s">
        <v>90</v>
      </c>
      <c r="G22" s="11" t="s">
        <v>91</v>
      </c>
      <c r="H22" s="11" t="s">
        <v>92</v>
      </c>
      <c r="I22" s="11" t="s">
        <v>93</v>
      </c>
      <c r="J22" s="11" t="s">
        <v>69</v>
      </c>
    </row>
    <row r="23" spans="1:10" x14ac:dyDescent="0.15">
      <c r="A23" s="12">
        <f>ROW(A17)-ROW(A$16)</f>
        <v>1</v>
      </c>
      <c r="B23" s="18"/>
      <c r="C23" s="18"/>
      <c r="D23" s="18"/>
      <c r="E23" s="18"/>
      <c r="F23" s="18"/>
      <c r="G23" s="18"/>
      <c r="H23" s="18"/>
      <c r="I23" s="20"/>
      <c r="J23" s="18"/>
    </row>
    <row r="24" spans="1:10" x14ac:dyDescent="0.15">
      <c r="A24" s="22" t="s">
        <v>6</v>
      </c>
      <c r="B24" s="22" t="s">
        <v>6</v>
      </c>
      <c r="C24" s="22" t="s">
        <v>6</v>
      </c>
      <c r="D24" s="13" t="s">
        <v>6</v>
      </c>
      <c r="E24" s="13" t="s">
        <v>6</v>
      </c>
      <c r="F24" s="13" t="s">
        <v>6</v>
      </c>
      <c r="G24" s="13" t="s">
        <v>6</v>
      </c>
      <c r="H24" s="13" t="s">
        <v>6</v>
      </c>
      <c r="I24" s="13" t="s">
        <v>6</v>
      </c>
      <c r="J24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workbookViewId="0"/>
  </sheetViews>
  <sheetFormatPr defaultRowHeight="13.5" x14ac:dyDescent="0.15"/>
  <cols>
    <col min="1" max="1" width="4.875" bestFit="1" customWidth="1"/>
    <col min="2" max="3" width="12.875" bestFit="1" customWidth="1"/>
    <col min="4" max="4" width="11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925</v>
      </c>
      <c r="C1" s="24" t="str">
        <f>INDEX(目录!D:D,MATCH(B1,目录!E:E,0))</f>
        <v>统计表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924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81</v>
      </c>
      <c r="E8" s="19">
        <v>10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117</v>
      </c>
      <c r="C9" s="18" t="s">
        <v>926</v>
      </c>
      <c r="D9" s="18" t="s">
        <v>179</v>
      </c>
      <c r="E9" s="19">
        <v>64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927</v>
      </c>
      <c r="C10" s="18" t="s">
        <v>928</v>
      </c>
      <c r="D10" s="18" t="s">
        <v>81</v>
      </c>
      <c r="E10" s="19">
        <v>10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/>
      <c r="C11" s="18"/>
      <c r="D11" s="18"/>
      <c r="E11" s="19"/>
      <c r="F11" s="14"/>
      <c r="G11" s="12"/>
      <c r="H11" s="12"/>
      <c r="I11" s="29"/>
      <c r="J11" s="29"/>
    </row>
    <row r="12" spans="1:10" x14ac:dyDescent="0.15">
      <c r="A12" s="22" t="s">
        <v>6</v>
      </c>
      <c r="B12" s="22" t="s">
        <v>6</v>
      </c>
      <c r="C12" s="22" t="s">
        <v>6</v>
      </c>
      <c r="D12" s="13" t="s">
        <v>6</v>
      </c>
      <c r="E12" s="13" t="s">
        <v>6</v>
      </c>
      <c r="F12" s="13" t="s">
        <v>6</v>
      </c>
      <c r="G12" s="13" t="s">
        <v>6</v>
      </c>
      <c r="H12" s="13" t="s">
        <v>6</v>
      </c>
      <c r="I12" s="13" t="s">
        <v>6</v>
      </c>
      <c r="J12" s="13" t="s">
        <v>6</v>
      </c>
    </row>
    <row r="15" spans="1:10" x14ac:dyDescent="0.15">
      <c r="A15" s="11" t="s">
        <v>0</v>
      </c>
      <c r="B15" s="11" t="s">
        <v>86</v>
      </c>
      <c r="C15" s="11" t="s">
        <v>87</v>
      </c>
      <c r="D15" s="11" t="s">
        <v>88</v>
      </c>
      <c r="E15" s="11" t="s">
        <v>89</v>
      </c>
      <c r="F15" s="11" t="s">
        <v>90</v>
      </c>
      <c r="G15" s="11" t="s">
        <v>91</v>
      </c>
      <c r="H15" s="11" t="s">
        <v>92</v>
      </c>
      <c r="I15" s="11" t="s">
        <v>93</v>
      </c>
      <c r="J15" s="11" t="s">
        <v>69</v>
      </c>
    </row>
    <row r="16" spans="1:10" x14ac:dyDescent="0.15">
      <c r="A16" s="12">
        <f>ROW(A17)-ROW(A$16)</f>
        <v>1</v>
      </c>
      <c r="B16" s="18"/>
      <c r="C16" s="18"/>
      <c r="D16" s="18"/>
      <c r="E16" s="18"/>
      <c r="F16" s="18"/>
      <c r="G16" s="18"/>
      <c r="H16" s="18"/>
      <c r="I16" s="20"/>
      <c r="J16" s="18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17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930</v>
      </c>
      <c r="C1" s="24" t="str">
        <f>INDEX(目录!D:D,MATCH(B1,目录!E:E,0))</f>
        <v>公益项目证明表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931</v>
      </c>
      <c r="C9" s="18" t="s">
        <v>932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236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933</v>
      </c>
      <c r="C11" s="18" t="s">
        <v>934</v>
      </c>
      <c r="D11" s="18" t="s">
        <v>206</v>
      </c>
      <c r="E11" s="19">
        <v>32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216</v>
      </c>
      <c r="C12" s="18" t="s">
        <v>935</v>
      </c>
      <c r="D12" s="18" t="s">
        <v>400</v>
      </c>
      <c r="E12" s="19">
        <v>1024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308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workbookViewId="0"/>
  </sheetViews>
  <sheetFormatPr defaultRowHeight="13.5" x14ac:dyDescent="0.15"/>
  <cols>
    <col min="1" max="1" width="4.875" bestFit="1" customWidth="1"/>
    <col min="2" max="2" width="14.875" bestFit="1" customWidth="1"/>
    <col min="3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937</v>
      </c>
      <c r="C1" s="24" t="str">
        <f>INDEX(目录!D:D,MATCH(B1,目录!E:E,0))</f>
        <v>公益捐助项目分类表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936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453</v>
      </c>
      <c r="C9" s="18" t="s">
        <v>938</v>
      </c>
      <c r="D9" s="18" t="s">
        <v>163</v>
      </c>
      <c r="E9" s="19">
        <v>16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216</v>
      </c>
      <c r="C10" s="18" t="s">
        <v>939</v>
      </c>
      <c r="D10" s="18" t="s">
        <v>400</v>
      </c>
      <c r="E10" s="19">
        <v>1024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940</v>
      </c>
      <c r="C11" s="18" t="s">
        <v>941</v>
      </c>
      <c r="D11" s="18" t="s">
        <v>81</v>
      </c>
      <c r="E11" s="19">
        <v>10</v>
      </c>
      <c r="F11" s="14"/>
      <c r="G11" s="12"/>
      <c r="H11" s="12"/>
      <c r="I11" s="29" t="s">
        <v>188</v>
      </c>
      <c r="J11" s="29"/>
    </row>
    <row r="12" spans="1:10" x14ac:dyDescent="0.15">
      <c r="A12" s="12">
        <f>ROW(A8)-ROW(A$7)</f>
        <v>5</v>
      </c>
      <c r="B12" s="18" t="s">
        <v>220</v>
      </c>
      <c r="C12" s="18" t="s">
        <v>221</v>
      </c>
      <c r="D12" s="18" t="s">
        <v>138</v>
      </c>
      <c r="E12" s="19">
        <v>3</v>
      </c>
      <c r="F12" s="14"/>
      <c r="G12" s="12"/>
      <c r="H12" s="12"/>
      <c r="I12" s="29" t="s">
        <v>188</v>
      </c>
      <c r="J12" s="29"/>
    </row>
    <row r="13" spans="1:10" x14ac:dyDescent="0.15">
      <c r="A13" s="12">
        <f>ROW(A8)-ROW(A$7)</f>
        <v>6</v>
      </c>
      <c r="B13" s="18"/>
      <c r="C13" s="18"/>
      <c r="D13" s="18"/>
      <c r="E13" s="19"/>
      <c r="F13" s="14"/>
      <c r="G13" s="12"/>
      <c r="H13" s="12"/>
      <c r="I13" s="29"/>
      <c r="J13" s="29"/>
    </row>
    <row r="14" spans="1:10" x14ac:dyDescent="0.15">
      <c r="A14" s="22" t="s">
        <v>6</v>
      </c>
      <c r="B14" s="22" t="s">
        <v>6</v>
      </c>
      <c r="C14" s="22" t="s">
        <v>6</v>
      </c>
      <c r="D14" s="13" t="s">
        <v>6</v>
      </c>
      <c r="E14" s="13" t="s">
        <v>6</v>
      </c>
      <c r="F14" s="13" t="s">
        <v>6</v>
      </c>
      <c r="G14" s="13" t="s">
        <v>6</v>
      </c>
      <c r="H14" s="13" t="s">
        <v>6</v>
      </c>
      <c r="I14" s="13" t="s">
        <v>6</v>
      </c>
      <c r="J14" s="13" t="s">
        <v>6</v>
      </c>
    </row>
    <row r="17" spans="1:10" x14ac:dyDescent="0.15">
      <c r="A17" s="11" t="s">
        <v>0</v>
      </c>
      <c r="B17" s="11" t="s">
        <v>86</v>
      </c>
      <c r="C17" s="11" t="s">
        <v>87</v>
      </c>
      <c r="D17" s="11" t="s">
        <v>88</v>
      </c>
      <c r="E17" s="11" t="s">
        <v>89</v>
      </c>
      <c r="F17" s="11" t="s">
        <v>90</v>
      </c>
      <c r="G17" s="11" t="s">
        <v>91</v>
      </c>
      <c r="H17" s="11" t="s">
        <v>92</v>
      </c>
      <c r="I17" s="11" t="s">
        <v>93</v>
      </c>
      <c r="J17" s="11" t="s">
        <v>69</v>
      </c>
    </row>
    <row r="18" spans="1:10" x14ac:dyDescent="0.15">
      <c r="A18" s="12">
        <f>ROW(A17)-ROW(A$16)</f>
        <v>1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22" t="s">
        <v>6</v>
      </c>
      <c r="B19" s="22" t="s">
        <v>6</v>
      </c>
      <c r="C19" s="22" t="s">
        <v>6</v>
      </c>
      <c r="D19" s="13" t="s">
        <v>6</v>
      </c>
      <c r="E19" s="13" t="s">
        <v>6</v>
      </c>
      <c r="F19" s="13" t="s">
        <v>6</v>
      </c>
      <c r="G19" s="13" t="s">
        <v>6</v>
      </c>
      <c r="H19" s="13" t="s">
        <v>6</v>
      </c>
      <c r="I19" s="13" t="s">
        <v>6</v>
      </c>
      <c r="J19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19.875" bestFit="1" customWidth="1"/>
    <col min="3" max="3" width="12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943</v>
      </c>
      <c r="C1" s="24" t="str">
        <f>INDEX(目录!D:D,MATCH(B1,目录!E:E,0))</f>
        <v>公益捐助项目发起单位表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942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453</v>
      </c>
      <c r="C9" s="18" t="s">
        <v>944</v>
      </c>
      <c r="D9" s="18" t="s">
        <v>163</v>
      </c>
      <c r="E9" s="19">
        <v>16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216</v>
      </c>
      <c r="C10" s="18" t="s">
        <v>945</v>
      </c>
      <c r="D10" s="18" t="s">
        <v>400</v>
      </c>
      <c r="E10" s="19">
        <v>1024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940</v>
      </c>
      <c r="C11" s="18" t="s">
        <v>946</v>
      </c>
      <c r="D11" s="18" t="s">
        <v>81</v>
      </c>
      <c r="E11" s="19">
        <v>10</v>
      </c>
      <c r="F11" s="14"/>
      <c r="G11" s="12"/>
      <c r="H11" s="12"/>
      <c r="I11" s="29" t="s">
        <v>188</v>
      </c>
      <c r="J11" s="29"/>
    </row>
    <row r="12" spans="1:10" x14ac:dyDescent="0.15">
      <c r="A12" s="12">
        <f>ROW(A8)-ROW(A$7)</f>
        <v>5</v>
      </c>
      <c r="B12" s="18" t="s">
        <v>947</v>
      </c>
      <c r="C12" s="18" t="s">
        <v>948</v>
      </c>
      <c r="D12" s="18" t="s">
        <v>559</v>
      </c>
      <c r="E12" s="19">
        <v>8</v>
      </c>
      <c r="F12" s="14">
        <v>2</v>
      </c>
      <c r="G12" s="12"/>
      <c r="H12" s="12"/>
      <c r="I12" s="29" t="s">
        <v>949</v>
      </c>
      <c r="J12" s="29"/>
    </row>
    <row r="13" spans="1:10" x14ac:dyDescent="0.15">
      <c r="A13" s="12">
        <f>ROW(A8)-ROW(A$7)</f>
        <v>6</v>
      </c>
      <c r="B13" s="18" t="s">
        <v>220</v>
      </c>
      <c r="C13" s="18" t="s">
        <v>221</v>
      </c>
      <c r="D13" s="18" t="s">
        <v>138</v>
      </c>
      <c r="E13" s="19">
        <v>3</v>
      </c>
      <c r="F13" s="14"/>
      <c r="G13" s="12"/>
      <c r="H13" s="12"/>
      <c r="I13" s="29" t="s">
        <v>320</v>
      </c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1"/>
  <sheetViews>
    <sheetView workbookViewId="0"/>
  </sheetViews>
  <sheetFormatPr defaultRowHeight="13.5" x14ac:dyDescent="0.15"/>
  <cols>
    <col min="1" max="1" width="4.875" bestFit="1" customWidth="1"/>
    <col min="2" max="2" width="13.875" bestFit="1" customWidth="1"/>
    <col min="3" max="3" width="16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951</v>
      </c>
      <c r="C1" s="24" t="str">
        <f>INDEX(目录!D:D,MATCH(B1,目录!E:E,0))</f>
        <v>公益捐助项目表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950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808</v>
      </c>
      <c r="C9" s="18" t="s">
        <v>952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743</v>
      </c>
      <c r="C10" s="18" t="s">
        <v>953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954</v>
      </c>
      <c r="C11" s="18" t="s">
        <v>955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157</v>
      </c>
      <c r="C12" s="18" t="s">
        <v>956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232</v>
      </c>
      <c r="C13" s="18" t="s">
        <v>773</v>
      </c>
      <c r="D13" s="18" t="s">
        <v>163</v>
      </c>
      <c r="E13" s="19">
        <v>16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537</v>
      </c>
      <c r="C14" s="18" t="s">
        <v>957</v>
      </c>
      <c r="D14" s="18" t="s">
        <v>166</v>
      </c>
      <c r="E14" s="19">
        <v>128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216</v>
      </c>
      <c r="C15" s="18" t="s">
        <v>958</v>
      </c>
      <c r="D15" s="18" t="s">
        <v>400</v>
      </c>
      <c r="E15" s="19">
        <v>1024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234</v>
      </c>
      <c r="C16" s="18" t="s">
        <v>959</v>
      </c>
      <c r="D16" s="18" t="s">
        <v>78</v>
      </c>
      <c r="E16" s="19">
        <v>65535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960</v>
      </c>
      <c r="C17" s="18" t="s">
        <v>961</v>
      </c>
      <c r="D17" s="18" t="s">
        <v>81</v>
      </c>
      <c r="E17" s="19">
        <v>10</v>
      </c>
      <c r="F17" s="14"/>
      <c r="G17" s="12"/>
      <c r="H17" s="12"/>
      <c r="I17" s="29" t="s">
        <v>188</v>
      </c>
      <c r="J17" s="29"/>
    </row>
    <row r="18" spans="1:10" x14ac:dyDescent="0.15">
      <c r="A18" s="12">
        <f>ROW(A8)-ROW(A$7)</f>
        <v>11</v>
      </c>
      <c r="B18" s="18" t="s">
        <v>947</v>
      </c>
      <c r="C18" s="18" t="s">
        <v>962</v>
      </c>
      <c r="D18" s="18" t="s">
        <v>559</v>
      </c>
      <c r="E18" s="19">
        <v>8</v>
      </c>
      <c r="F18" s="14">
        <v>2</v>
      </c>
      <c r="G18" s="12"/>
      <c r="H18" s="12"/>
      <c r="I18" s="29" t="s">
        <v>949</v>
      </c>
      <c r="J18" s="29"/>
    </row>
    <row r="19" spans="1:10" x14ac:dyDescent="0.15">
      <c r="A19" s="12">
        <f>ROW(A8)-ROW(A$7)</f>
        <v>12</v>
      </c>
      <c r="B19" s="18" t="s">
        <v>963</v>
      </c>
      <c r="C19" s="18" t="s">
        <v>964</v>
      </c>
      <c r="D19" s="18" t="s">
        <v>81</v>
      </c>
      <c r="E19" s="19">
        <v>10</v>
      </c>
      <c r="F19" s="14"/>
      <c r="G19" s="12"/>
      <c r="H19" s="12"/>
      <c r="I19" s="29" t="s">
        <v>188</v>
      </c>
      <c r="J19" s="29"/>
    </row>
    <row r="20" spans="1:10" x14ac:dyDescent="0.15">
      <c r="A20" s="12">
        <f>ROW(A8)-ROW(A$7)</f>
        <v>13</v>
      </c>
      <c r="B20" s="18" t="s">
        <v>356</v>
      </c>
      <c r="C20" s="18" t="s">
        <v>965</v>
      </c>
      <c r="D20" s="18" t="s">
        <v>72</v>
      </c>
      <c r="E20" s="19">
        <v>19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358</v>
      </c>
      <c r="C21" s="18" t="s">
        <v>966</v>
      </c>
      <c r="D21" s="18" t="s">
        <v>72</v>
      </c>
      <c r="E21" s="19">
        <v>19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139</v>
      </c>
      <c r="C22" s="18" t="s">
        <v>308</v>
      </c>
      <c r="D22" s="18" t="s">
        <v>72</v>
      </c>
      <c r="E22" s="19">
        <v>19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343</v>
      </c>
      <c r="C23" s="18" t="s">
        <v>967</v>
      </c>
      <c r="D23" s="18" t="s">
        <v>206</v>
      </c>
      <c r="E23" s="19">
        <v>32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189</v>
      </c>
      <c r="C24" s="18" t="s">
        <v>190</v>
      </c>
      <c r="D24" s="18" t="s">
        <v>81</v>
      </c>
      <c r="E24" s="19">
        <v>10</v>
      </c>
      <c r="F24" s="14"/>
      <c r="G24" s="12"/>
      <c r="H24" s="12"/>
      <c r="I24" s="29" t="s">
        <v>188</v>
      </c>
      <c r="J24" s="29"/>
    </row>
    <row r="25" spans="1:10" x14ac:dyDescent="0.15">
      <c r="A25" s="12">
        <f>ROW(A8)-ROW(A$7)</f>
        <v>18</v>
      </c>
      <c r="B25" s="18"/>
      <c r="C25" s="18"/>
      <c r="D25" s="18"/>
      <c r="E25" s="19"/>
      <c r="F25" s="14"/>
      <c r="G25" s="12"/>
      <c r="H25" s="12"/>
      <c r="I25" s="29"/>
      <c r="J25" s="29"/>
    </row>
    <row r="26" spans="1:10" x14ac:dyDescent="0.15">
      <c r="A26" s="22" t="s">
        <v>6</v>
      </c>
      <c r="B26" s="22" t="s">
        <v>6</v>
      </c>
      <c r="C26" s="22" t="s">
        <v>6</v>
      </c>
      <c r="D26" s="13" t="s">
        <v>6</v>
      </c>
      <c r="E26" s="13" t="s">
        <v>6</v>
      </c>
      <c r="F26" s="13" t="s">
        <v>6</v>
      </c>
      <c r="G26" s="13" t="s">
        <v>6</v>
      </c>
      <c r="H26" s="13" t="s">
        <v>6</v>
      </c>
      <c r="I26" s="13" t="s">
        <v>6</v>
      </c>
      <c r="J26" s="13" t="s">
        <v>6</v>
      </c>
    </row>
    <row r="29" spans="1:10" x14ac:dyDescent="0.15">
      <c r="A29" s="11" t="s">
        <v>0</v>
      </c>
      <c r="B29" s="11" t="s">
        <v>86</v>
      </c>
      <c r="C29" s="11" t="s">
        <v>87</v>
      </c>
      <c r="D29" s="11" t="s">
        <v>88</v>
      </c>
      <c r="E29" s="11" t="s">
        <v>89</v>
      </c>
      <c r="F29" s="11" t="s">
        <v>90</v>
      </c>
      <c r="G29" s="11" t="s">
        <v>91</v>
      </c>
      <c r="H29" s="11" t="s">
        <v>92</v>
      </c>
      <c r="I29" s="11" t="s">
        <v>93</v>
      </c>
      <c r="J29" s="11" t="s">
        <v>69</v>
      </c>
    </row>
    <row r="30" spans="1:10" x14ac:dyDescent="0.15">
      <c r="A30" s="12">
        <f>ROW(A17)-ROW(A$16)</f>
        <v>1</v>
      </c>
      <c r="B30" s="18"/>
      <c r="C30" s="18"/>
      <c r="D30" s="18"/>
      <c r="E30" s="18"/>
      <c r="F30" s="18"/>
      <c r="G30" s="18"/>
      <c r="H30" s="18"/>
      <c r="I30" s="20"/>
      <c r="J30" s="18"/>
    </row>
    <row r="31" spans="1:10" x14ac:dyDescent="0.15">
      <c r="A31" s="22" t="s">
        <v>6</v>
      </c>
      <c r="B31" s="22" t="s">
        <v>6</v>
      </c>
      <c r="C31" s="22" t="s">
        <v>6</v>
      </c>
      <c r="D31" s="13" t="s">
        <v>6</v>
      </c>
      <c r="E31" s="13" t="s">
        <v>6</v>
      </c>
      <c r="F31" s="13" t="s">
        <v>6</v>
      </c>
      <c r="G31" s="13" t="s">
        <v>6</v>
      </c>
      <c r="H31" s="13" t="s">
        <v>6</v>
      </c>
      <c r="I31" s="13" t="s">
        <v>6</v>
      </c>
      <c r="J3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3.875" bestFit="1" customWidth="1"/>
    <col min="3" max="3" width="12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969</v>
      </c>
      <c r="C1" s="24" t="str">
        <f>INDEX(目录!D:D,MATCH(B1,目录!E:E,0))</f>
        <v>公益项目捐款表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968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931</v>
      </c>
      <c r="C9" s="18" t="s">
        <v>932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236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970</v>
      </c>
      <c r="C11" s="18" t="s">
        <v>971</v>
      </c>
      <c r="D11" s="18" t="s">
        <v>559</v>
      </c>
      <c r="E11" s="19">
        <v>8</v>
      </c>
      <c r="F11" s="14">
        <v>2</v>
      </c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234</v>
      </c>
      <c r="C12" s="18" t="s">
        <v>972</v>
      </c>
      <c r="D12" s="18" t="s">
        <v>400</v>
      </c>
      <c r="E12" s="19">
        <v>1024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973</v>
      </c>
      <c r="C13" s="18" t="s">
        <v>974</v>
      </c>
      <c r="D13" s="18" t="s">
        <v>206</v>
      </c>
      <c r="E13" s="19">
        <v>32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819</v>
      </c>
      <c r="C14" s="18" t="s">
        <v>975</v>
      </c>
      <c r="D14" s="18" t="s">
        <v>179</v>
      </c>
      <c r="E14" s="19">
        <v>64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139</v>
      </c>
      <c r="C15" s="18" t="s">
        <v>976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10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978</v>
      </c>
      <c r="C1" s="24" t="str">
        <f>INDEX(目录!D:D,MATCH(B1,目录!E:E,0))</f>
        <v>公益项目现场记录表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977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931</v>
      </c>
      <c r="C9" s="18" t="s">
        <v>809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236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234</v>
      </c>
      <c r="C11" s="18" t="s">
        <v>979</v>
      </c>
      <c r="D11" s="18" t="s">
        <v>400</v>
      </c>
      <c r="E11" s="19">
        <v>1024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139</v>
      </c>
      <c r="C12" s="18" t="s">
        <v>308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189</v>
      </c>
      <c r="C13" s="18" t="s">
        <v>190</v>
      </c>
      <c r="D13" s="18" t="s">
        <v>81</v>
      </c>
      <c r="E13" s="19">
        <v>10</v>
      </c>
      <c r="F13" s="14"/>
      <c r="G13" s="12"/>
      <c r="H13" s="12"/>
      <c r="I13" s="29" t="s">
        <v>188</v>
      </c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workbookViewId="0"/>
  </sheetViews>
  <sheetFormatPr defaultRowHeight="13.5" x14ac:dyDescent="0.15"/>
  <cols>
    <col min="1" max="1" width="4.875" bestFit="1" customWidth="1"/>
    <col min="2" max="2" width="21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981</v>
      </c>
      <c r="C1" s="24" t="str">
        <f>INDEX(目录!D:D,MATCH(B1,目录!E:E,0))</f>
        <v>公益项目现场记录文件表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980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750</v>
      </c>
      <c r="C9" s="18" t="s">
        <v>982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764</v>
      </c>
      <c r="C10" s="18" t="s">
        <v>765</v>
      </c>
      <c r="D10" s="18" t="s">
        <v>250</v>
      </c>
      <c r="E10" s="19">
        <v>256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/>
      <c r="C11" s="18"/>
      <c r="D11" s="18"/>
      <c r="E11" s="19"/>
      <c r="F11" s="14"/>
      <c r="G11" s="12"/>
      <c r="H11" s="12"/>
      <c r="I11" s="29"/>
      <c r="J11" s="29"/>
    </row>
    <row r="12" spans="1:10" x14ac:dyDescent="0.15">
      <c r="A12" s="22" t="s">
        <v>6</v>
      </c>
      <c r="B12" s="22" t="s">
        <v>6</v>
      </c>
      <c r="C12" s="22" t="s">
        <v>6</v>
      </c>
      <c r="D12" s="13" t="s">
        <v>6</v>
      </c>
      <c r="E12" s="13" t="s">
        <v>6</v>
      </c>
      <c r="F12" s="13" t="s">
        <v>6</v>
      </c>
      <c r="G12" s="13" t="s">
        <v>6</v>
      </c>
      <c r="H12" s="13" t="s">
        <v>6</v>
      </c>
      <c r="I12" s="13" t="s">
        <v>6</v>
      </c>
      <c r="J12" s="13" t="s">
        <v>6</v>
      </c>
    </row>
    <row r="15" spans="1:10" x14ac:dyDescent="0.15">
      <c r="A15" s="11" t="s">
        <v>0</v>
      </c>
      <c r="B15" s="11" t="s">
        <v>86</v>
      </c>
      <c r="C15" s="11" t="s">
        <v>87</v>
      </c>
      <c r="D15" s="11" t="s">
        <v>88</v>
      </c>
      <c r="E15" s="11" t="s">
        <v>89</v>
      </c>
      <c r="F15" s="11" t="s">
        <v>90</v>
      </c>
      <c r="G15" s="11" t="s">
        <v>91</v>
      </c>
      <c r="H15" s="11" t="s">
        <v>92</v>
      </c>
      <c r="I15" s="11" t="s">
        <v>93</v>
      </c>
      <c r="J15" s="11" t="s">
        <v>69</v>
      </c>
    </row>
    <row r="16" spans="1:10" x14ac:dyDescent="0.15">
      <c r="A16" s="12">
        <f>ROW(A17)-ROW(A$16)</f>
        <v>1</v>
      </c>
      <c r="B16" s="18"/>
      <c r="C16" s="18"/>
      <c r="D16" s="18"/>
      <c r="E16" s="18"/>
      <c r="F16" s="18"/>
      <c r="G16" s="18"/>
      <c r="H16" s="18"/>
      <c r="I16" s="20"/>
      <c r="J16" s="18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10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984</v>
      </c>
      <c r="C1" s="24" t="str">
        <f>INDEX(目录!D:D,MATCH(B1,目录!E:E,0))</f>
        <v>公益项目捐助报告表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983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931</v>
      </c>
      <c r="C9" s="18" t="s">
        <v>809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232</v>
      </c>
      <c r="C10" s="18" t="s">
        <v>773</v>
      </c>
      <c r="D10" s="18" t="s">
        <v>163</v>
      </c>
      <c r="E10" s="19">
        <v>16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216</v>
      </c>
      <c r="C11" s="18" t="s">
        <v>958</v>
      </c>
      <c r="D11" s="18" t="s">
        <v>400</v>
      </c>
      <c r="E11" s="19">
        <v>1024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234</v>
      </c>
      <c r="C12" s="18" t="s">
        <v>985</v>
      </c>
      <c r="D12" s="18" t="s">
        <v>78</v>
      </c>
      <c r="E12" s="19">
        <v>65535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308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189</v>
      </c>
      <c r="C14" s="18" t="s">
        <v>190</v>
      </c>
      <c r="D14" s="18" t="s">
        <v>81</v>
      </c>
      <c r="E14" s="19">
        <v>10</v>
      </c>
      <c r="F14" s="14"/>
      <c r="G14" s="12"/>
      <c r="H14" s="12"/>
      <c r="I14" s="29" t="s">
        <v>188</v>
      </c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22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987</v>
      </c>
      <c r="C1" s="24" t="str">
        <f>INDEX(目录!D:D,MATCH(B1,目录!E:E,0))</f>
        <v>记录文件表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986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324</v>
      </c>
      <c r="D9" s="18" t="s">
        <v>325</v>
      </c>
      <c r="E9" s="19">
        <v>64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886</v>
      </c>
      <c r="C10" s="18" t="s">
        <v>988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762</v>
      </c>
      <c r="C11" s="18" t="s">
        <v>763</v>
      </c>
      <c r="D11" s="18" t="s">
        <v>81</v>
      </c>
      <c r="E11" s="19">
        <v>10</v>
      </c>
      <c r="F11" s="14"/>
      <c r="G11" s="12"/>
      <c r="H11" s="12"/>
      <c r="I11" s="29" t="s">
        <v>188</v>
      </c>
      <c r="J11" s="29"/>
    </row>
    <row r="12" spans="1:10" x14ac:dyDescent="0.15">
      <c r="A12" s="12">
        <f>ROW(A8)-ROW(A$7)</f>
        <v>5</v>
      </c>
      <c r="B12" s="18" t="s">
        <v>764</v>
      </c>
      <c r="C12" s="18" t="s">
        <v>765</v>
      </c>
      <c r="D12" s="18" t="s">
        <v>250</v>
      </c>
      <c r="E12" s="19">
        <v>256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177</v>
      </c>
      <c r="C13" s="18" t="s">
        <v>766</v>
      </c>
      <c r="D13" s="18" t="s">
        <v>179</v>
      </c>
      <c r="E13" s="19">
        <v>64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767</v>
      </c>
      <c r="C14" s="18" t="s">
        <v>768</v>
      </c>
      <c r="D14" s="18" t="s">
        <v>179</v>
      </c>
      <c r="E14" s="19">
        <v>64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139</v>
      </c>
      <c r="C15" s="18" t="s">
        <v>346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769</v>
      </c>
      <c r="C16" s="18" t="s">
        <v>770</v>
      </c>
      <c r="D16" s="18" t="s">
        <v>138</v>
      </c>
      <c r="E16" s="19">
        <v>3</v>
      </c>
      <c r="F16" s="14"/>
      <c r="G16" s="12"/>
      <c r="H16" s="12"/>
      <c r="I16" s="29" t="s">
        <v>188</v>
      </c>
      <c r="J16" s="29"/>
    </row>
    <row r="17" spans="1:10" x14ac:dyDescent="0.15">
      <c r="A17" s="12">
        <f>ROW(A8)-ROW(A$7)</f>
        <v>10</v>
      </c>
      <c r="B17" s="18"/>
      <c r="C17" s="18"/>
      <c r="D17" s="18"/>
      <c r="E17" s="19"/>
      <c r="F17" s="14"/>
      <c r="G17" s="12"/>
      <c r="H17" s="12"/>
      <c r="I17" s="29"/>
      <c r="J17" s="29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  <row r="21" spans="1:10" x14ac:dyDescent="0.15">
      <c r="A21" s="11" t="s">
        <v>0</v>
      </c>
      <c r="B21" s="11" t="s">
        <v>86</v>
      </c>
      <c r="C21" s="11" t="s">
        <v>87</v>
      </c>
      <c r="D21" s="11" t="s">
        <v>88</v>
      </c>
      <c r="E21" s="11" t="s">
        <v>89</v>
      </c>
      <c r="F21" s="11" t="s">
        <v>90</v>
      </c>
      <c r="G21" s="11" t="s">
        <v>91</v>
      </c>
      <c r="H21" s="11" t="s">
        <v>92</v>
      </c>
      <c r="I21" s="11" t="s">
        <v>93</v>
      </c>
      <c r="J21" s="11" t="s">
        <v>69</v>
      </c>
    </row>
    <row r="22" spans="1:10" x14ac:dyDescent="0.15">
      <c r="A22" s="12">
        <f>ROW(A17)-ROW(A$16)</f>
        <v>1</v>
      </c>
      <c r="B22" s="18"/>
      <c r="C22" s="18"/>
      <c r="D22" s="18"/>
      <c r="E22" s="18"/>
      <c r="F22" s="18"/>
      <c r="G22" s="18"/>
      <c r="H22" s="18"/>
      <c r="I22" s="20"/>
      <c r="J22" s="18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/>
  </sheetViews>
  <sheetFormatPr defaultRowHeight="13.5" x14ac:dyDescent="0.15"/>
  <cols>
    <col min="1" max="1" width="4.875" bestFit="1" customWidth="1"/>
    <col min="2" max="2" width="18.875" bestFit="1" customWidth="1"/>
    <col min="3" max="3" width="12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990</v>
      </c>
      <c r="C1" s="24" t="str">
        <f>INDEX(目录!D:D,MATCH(B1,目录!E:E,0))</f>
        <v>用户评论表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989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749</v>
      </c>
      <c r="D9" s="18" t="s">
        <v>730</v>
      </c>
      <c r="E9" s="19">
        <v>16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886</v>
      </c>
      <c r="C10" s="18" t="s">
        <v>887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127</v>
      </c>
      <c r="C11" s="18" t="s">
        <v>745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234</v>
      </c>
      <c r="C12" s="18" t="s">
        <v>752</v>
      </c>
      <c r="D12" s="18" t="s">
        <v>400</v>
      </c>
      <c r="E12" s="19">
        <v>1024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615</v>
      </c>
      <c r="C13" s="18" t="s">
        <v>753</v>
      </c>
      <c r="D13" s="18" t="s">
        <v>98</v>
      </c>
      <c r="E13" s="19">
        <v>36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224</v>
      </c>
      <c r="C14" s="18" t="s">
        <v>754</v>
      </c>
      <c r="D14" s="18" t="s">
        <v>179</v>
      </c>
      <c r="E14" s="19">
        <v>64</v>
      </c>
      <c r="F14" s="14"/>
      <c r="G14" s="12"/>
      <c r="H14" s="12"/>
      <c r="I14" s="29" t="s">
        <v>188</v>
      </c>
      <c r="J14" s="29"/>
    </row>
    <row r="15" spans="1:10" x14ac:dyDescent="0.15">
      <c r="A15" s="12">
        <f>ROW(A8)-ROW(A$7)</f>
        <v>8</v>
      </c>
      <c r="B15" s="18" t="s">
        <v>475</v>
      </c>
      <c r="C15" s="18" t="s">
        <v>476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477</v>
      </c>
      <c r="C16" s="18" t="s">
        <v>478</v>
      </c>
      <c r="D16" s="18" t="s">
        <v>72</v>
      </c>
      <c r="E16" s="19">
        <v>19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139</v>
      </c>
      <c r="C17" s="18" t="s">
        <v>346</v>
      </c>
      <c r="D17" s="18" t="s">
        <v>72</v>
      </c>
      <c r="E17" s="19">
        <v>19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755</v>
      </c>
      <c r="C18" s="18" t="s">
        <v>756</v>
      </c>
      <c r="D18" s="18" t="s">
        <v>72</v>
      </c>
      <c r="E18" s="19">
        <v>19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/>
      <c r="C19" s="18"/>
      <c r="D19" s="18"/>
      <c r="E19" s="19"/>
      <c r="F19" s="14"/>
      <c r="G19" s="12"/>
      <c r="H19" s="12"/>
      <c r="I19" s="29"/>
      <c r="J19" s="29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  <row r="23" spans="1:10" x14ac:dyDescent="0.15">
      <c r="A23" s="11" t="s">
        <v>0</v>
      </c>
      <c r="B23" s="11" t="s">
        <v>86</v>
      </c>
      <c r="C23" s="11" t="s">
        <v>87</v>
      </c>
      <c r="D23" s="11" t="s">
        <v>88</v>
      </c>
      <c r="E23" s="11" t="s">
        <v>89</v>
      </c>
      <c r="F23" s="11" t="s">
        <v>90</v>
      </c>
      <c r="G23" s="11" t="s">
        <v>91</v>
      </c>
      <c r="H23" s="11" t="s">
        <v>92</v>
      </c>
      <c r="I23" s="11" t="s">
        <v>93</v>
      </c>
      <c r="J23" s="11" t="s">
        <v>69</v>
      </c>
    </row>
    <row r="24" spans="1:10" x14ac:dyDescent="0.15">
      <c r="A24" s="12">
        <f>ROW(A17)-ROW(A$16)</f>
        <v>1</v>
      </c>
      <c r="B24" s="18"/>
      <c r="C24" s="18"/>
      <c r="D24" s="18"/>
      <c r="E24" s="18"/>
      <c r="F24" s="18"/>
      <c r="G24" s="18"/>
      <c r="H24" s="18"/>
      <c r="I24" s="20"/>
      <c r="J24" s="18"/>
    </row>
    <row r="25" spans="1:10" x14ac:dyDescent="0.15">
      <c r="A25" s="22" t="s">
        <v>6</v>
      </c>
      <c r="B25" s="22" t="s">
        <v>6</v>
      </c>
      <c r="C25" s="22" t="s">
        <v>6</v>
      </c>
      <c r="D25" s="13" t="s">
        <v>6</v>
      </c>
      <c r="E25" s="13" t="s">
        <v>6</v>
      </c>
      <c r="F25" s="13" t="s">
        <v>6</v>
      </c>
      <c r="G25" s="13" t="s">
        <v>6</v>
      </c>
      <c r="H25" s="13" t="s">
        <v>6</v>
      </c>
      <c r="I25" s="13" t="s">
        <v>6</v>
      </c>
      <c r="J25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6.875" bestFit="1" customWidth="1"/>
    <col min="3" max="3" width="10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992</v>
      </c>
      <c r="C1" s="24" t="str">
        <f>INDEX(目录!D:D,MATCH(B1,目录!E:E,0))</f>
        <v>通用心声表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991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993</v>
      </c>
      <c r="D9" s="18" t="s">
        <v>730</v>
      </c>
      <c r="E9" s="19">
        <v>16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886</v>
      </c>
      <c r="C10" s="18" t="s">
        <v>994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234</v>
      </c>
      <c r="C11" s="18" t="s">
        <v>752</v>
      </c>
      <c r="D11" s="18" t="s">
        <v>400</v>
      </c>
      <c r="E11" s="19">
        <v>1024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806</v>
      </c>
      <c r="C12" s="18" t="s">
        <v>806</v>
      </c>
      <c r="D12" s="18" t="s">
        <v>81</v>
      </c>
      <c r="E12" s="19">
        <v>10</v>
      </c>
      <c r="F12" s="14"/>
      <c r="G12" s="12"/>
      <c r="H12" s="12"/>
      <c r="I12" s="29" t="s">
        <v>188</v>
      </c>
      <c r="J12" s="29"/>
    </row>
    <row r="13" spans="1:10" x14ac:dyDescent="0.15">
      <c r="A13" s="12">
        <f>ROW(A8)-ROW(A$7)</f>
        <v>6</v>
      </c>
      <c r="B13" s="18" t="s">
        <v>127</v>
      </c>
      <c r="C13" s="18" t="s">
        <v>745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139</v>
      </c>
      <c r="C14" s="18" t="s">
        <v>346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224</v>
      </c>
      <c r="C15" s="18" t="s">
        <v>474</v>
      </c>
      <c r="D15" s="18" t="s">
        <v>179</v>
      </c>
      <c r="E15" s="19">
        <v>64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7"/>
  <sheetViews>
    <sheetView workbookViewId="0"/>
  </sheetViews>
  <sheetFormatPr defaultRowHeight="13.5" x14ac:dyDescent="0.15"/>
  <cols>
    <col min="1" max="1" width="4.875" bestFit="1" customWidth="1"/>
    <col min="2" max="2" width="20.875" bestFit="1" customWidth="1"/>
    <col min="3" max="3" width="73.875" bestFit="1" customWidth="1"/>
    <col min="4" max="4" width="13.875" bestFit="1" customWidth="1"/>
    <col min="5" max="8" width="8.875" bestFit="1" customWidth="1"/>
    <col min="9" max="9" width="17.875" bestFit="1" customWidth="1"/>
    <col min="10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996</v>
      </c>
      <c r="C1" s="24" t="str">
        <f>INDEX(目录!D:D,MATCH(B1,目录!E:E,0))</f>
        <v>志愿组织信息表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995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453</v>
      </c>
      <c r="C9" s="18" t="s">
        <v>997</v>
      </c>
      <c r="D9" s="18" t="s">
        <v>206</v>
      </c>
      <c r="E9" s="19">
        <v>32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998</v>
      </c>
      <c r="C10" s="18" t="s">
        <v>998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664</v>
      </c>
      <c r="C11" s="18" t="s">
        <v>999</v>
      </c>
      <c r="D11" s="18" t="s">
        <v>730</v>
      </c>
      <c r="E11" s="19">
        <v>16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1000</v>
      </c>
      <c r="C12" s="18" t="s">
        <v>1001</v>
      </c>
      <c r="D12" s="18" t="s">
        <v>730</v>
      </c>
      <c r="E12" s="19">
        <v>16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1002</v>
      </c>
      <c r="C13" s="18" t="s">
        <v>1003</v>
      </c>
      <c r="D13" s="18" t="s">
        <v>669</v>
      </c>
      <c r="E13" s="19">
        <v>2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1004</v>
      </c>
      <c r="C14" s="18" t="s">
        <v>1005</v>
      </c>
      <c r="D14" s="18" t="s">
        <v>75</v>
      </c>
      <c r="E14" s="19">
        <v>255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1006</v>
      </c>
      <c r="C15" s="18" t="s">
        <v>1007</v>
      </c>
      <c r="D15" s="18" t="s">
        <v>166</v>
      </c>
      <c r="E15" s="19">
        <v>128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528</v>
      </c>
      <c r="C16" s="18" t="s">
        <v>529</v>
      </c>
      <c r="D16" s="18" t="s">
        <v>730</v>
      </c>
      <c r="E16" s="19">
        <v>16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863</v>
      </c>
      <c r="C17" s="18" t="s">
        <v>1008</v>
      </c>
      <c r="D17" s="18" t="s">
        <v>179</v>
      </c>
      <c r="E17" s="19">
        <v>64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1009</v>
      </c>
      <c r="C18" s="18" t="s">
        <v>1010</v>
      </c>
      <c r="D18" s="18" t="s">
        <v>166</v>
      </c>
      <c r="E18" s="19">
        <v>128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1011</v>
      </c>
      <c r="C19" s="18" t="s">
        <v>1012</v>
      </c>
      <c r="D19" s="18" t="s">
        <v>669</v>
      </c>
      <c r="E19" s="19">
        <v>2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1013</v>
      </c>
      <c r="C20" s="18" t="s">
        <v>1014</v>
      </c>
      <c r="D20" s="18" t="s">
        <v>435</v>
      </c>
      <c r="E20" s="19">
        <v>20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533</v>
      </c>
      <c r="C21" s="18" t="s">
        <v>738</v>
      </c>
      <c r="D21" s="18" t="s">
        <v>166</v>
      </c>
      <c r="E21" s="19">
        <v>128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537</v>
      </c>
      <c r="C22" s="18" t="s">
        <v>538</v>
      </c>
      <c r="D22" s="18" t="s">
        <v>75</v>
      </c>
      <c r="E22" s="19">
        <v>255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1015</v>
      </c>
      <c r="C23" s="18" t="s">
        <v>1016</v>
      </c>
      <c r="D23" s="18" t="s">
        <v>72</v>
      </c>
      <c r="E23" s="19">
        <v>19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1017</v>
      </c>
      <c r="C24" s="18" t="s">
        <v>1018</v>
      </c>
      <c r="D24" s="18" t="s">
        <v>81</v>
      </c>
      <c r="E24" s="19">
        <v>10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255</v>
      </c>
      <c r="C25" s="18" t="s">
        <v>1019</v>
      </c>
      <c r="D25" s="18" t="s">
        <v>400</v>
      </c>
      <c r="E25" s="19">
        <v>1024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 t="s">
        <v>466</v>
      </c>
      <c r="C26" s="18" t="s">
        <v>467</v>
      </c>
      <c r="D26" s="18" t="s">
        <v>166</v>
      </c>
      <c r="E26" s="19">
        <v>128</v>
      </c>
      <c r="F26" s="14"/>
      <c r="G26" s="12"/>
      <c r="H26" s="12"/>
      <c r="I26" s="29"/>
      <c r="J26" s="29"/>
    </row>
    <row r="27" spans="1:10" x14ac:dyDescent="0.15">
      <c r="A27" s="12">
        <f>ROW(A8)-ROW(A$7)</f>
        <v>20</v>
      </c>
      <c r="B27" s="18" t="s">
        <v>468</v>
      </c>
      <c r="C27" s="18" t="s">
        <v>469</v>
      </c>
      <c r="D27" s="18" t="s">
        <v>206</v>
      </c>
      <c r="E27" s="19">
        <v>32</v>
      </c>
      <c r="F27" s="14"/>
      <c r="G27" s="12"/>
      <c r="H27" s="12"/>
      <c r="I27" s="29"/>
      <c r="J27" s="29"/>
    </row>
    <row r="28" spans="1:10" x14ac:dyDescent="0.15">
      <c r="A28" s="12">
        <f>ROW(A8)-ROW(A$7)</f>
        <v>21</v>
      </c>
      <c r="B28" s="18" t="s">
        <v>470</v>
      </c>
      <c r="C28" s="18" t="s">
        <v>471</v>
      </c>
      <c r="D28" s="18" t="s">
        <v>206</v>
      </c>
      <c r="E28" s="19">
        <v>32</v>
      </c>
      <c r="F28" s="14"/>
      <c r="G28" s="12"/>
      <c r="H28" s="12"/>
      <c r="I28" s="29"/>
      <c r="J28" s="29"/>
    </row>
    <row r="29" spans="1:10" x14ac:dyDescent="0.15">
      <c r="A29" s="12">
        <f>ROW(A8)-ROW(A$7)</f>
        <v>22</v>
      </c>
      <c r="B29" s="18" t="s">
        <v>472</v>
      </c>
      <c r="C29" s="18" t="s">
        <v>473</v>
      </c>
      <c r="D29" s="18" t="s">
        <v>179</v>
      </c>
      <c r="E29" s="19">
        <v>64</v>
      </c>
      <c r="F29" s="14"/>
      <c r="G29" s="12"/>
      <c r="H29" s="12"/>
      <c r="I29" s="29"/>
      <c r="J29" s="29"/>
    </row>
    <row r="30" spans="1:10" x14ac:dyDescent="0.15">
      <c r="A30" s="12">
        <f>ROW(A8)-ROW(A$7)</f>
        <v>23</v>
      </c>
      <c r="B30" s="18" t="s">
        <v>686</v>
      </c>
      <c r="C30" s="18" t="s">
        <v>1020</v>
      </c>
      <c r="D30" s="18" t="s">
        <v>669</v>
      </c>
      <c r="E30" s="19">
        <v>2</v>
      </c>
      <c r="F30" s="14"/>
      <c r="G30" s="12"/>
      <c r="H30" s="12"/>
      <c r="I30" s="29"/>
      <c r="J30" s="29"/>
    </row>
    <row r="31" spans="1:10" x14ac:dyDescent="0.15">
      <c r="A31" s="12">
        <f>ROW(A8)-ROW(A$7)</f>
        <v>24</v>
      </c>
      <c r="B31" s="18" t="s">
        <v>1021</v>
      </c>
      <c r="C31" s="18" t="s">
        <v>1022</v>
      </c>
      <c r="D31" s="18" t="s">
        <v>669</v>
      </c>
      <c r="E31" s="19">
        <v>2</v>
      </c>
      <c r="F31" s="14"/>
      <c r="G31" s="12"/>
      <c r="H31" s="12"/>
      <c r="I31" s="29"/>
      <c r="J31" s="29"/>
    </row>
    <row r="32" spans="1:10" x14ac:dyDescent="0.15">
      <c r="A32" s="12">
        <f>ROW(A8)-ROW(A$7)</f>
        <v>25</v>
      </c>
      <c r="B32" s="18" t="s">
        <v>711</v>
      </c>
      <c r="C32" s="18" t="s">
        <v>1023</v>
      </c>
      <c r="D32" s="18" t="s">
        <v>81</v>
      </c>
      <c r="E32" s="19">
        <v>10</v>
      </c>
      <c r="F32" s="14"/>
      <c r="G32" s="12"/>
      <c r="H32" s="12"/>
      <c r="I32" s="29" t="s">
        <v>188</v>
      </c>
      <c r="J32" s="29"/>
    </row>
    <row r="33" spans="1:10" x14ac:dyDescent="0.15">
      <c r="A33" s="12">
        <f>ROW(A8)-ROW(A$7)</f>
        <v>26</v>
      </c>
      <c r="B33" s="18" t="s">
        <v>82</v>
      </c>
      <c r="C33" s="18" t="s">
        <v>207</v>
      </c>
      <c r="D33" s="18" t="s">
        <v>81</v>
      </c>
      <c r="E33" s="19">
        <v>10</v>
      </c>
      <c r="F33" s="14"/>
      <c r="G33" s="12"/>
      <c r="H33" s="12"/>
      <c r="I33" s="29"/>
      <c r="J33" s="29"/>
    </row>
    <row r="34" spans="1:10" x14ac:dyDescent="0.15">
      <c r="A34" s="12">
        <f>ROW(A8)-ROW(A$7)</f>
        <v>27</v>
      </c>
      <c r="B34" s="18" t="s">
        <v>208</v>
      </c>
      <c r="C34" s="18" t="s">
        <v>427</v>
      </c>
      <c r="D34" s="18" t="s">
        <v>250</v>
      </c>
      <c r="E34" s="19">
        <v>256</v>
      </c>
      <c r="F34" s="14"/>
      <c r="G34" s="12"/>
      <c r="H34" s="12"/>
      <c r="I34" s="29"/>
      <c r="J34" s="29"/>
    </row>
    <row r="35" spans="1:10" x14ac:dyDescent="0.15">
      <c r="A35" s="12">
        <f>ROW(A8)-ROW(A$7)</f>
        <v>28</v>
      </c>
      <c r="B35" s="18" t="s">
        <v>1024</v>
      </c>
      <c r="C35" s="18" t="s">
        <v>1025</v>
      </c>
      <c r="D35" s="18" t="s">
        <v>72</v>
      </c>
      <c r="E35" s="19">
        <v>19</v>
      </c>
      <c r="F35" s="14"/>
      <c r="G35" s="12"/>
      <c r="H35" s="12"/>
      <c r="I35" s="29"/>
      <c r="J35" s="29"/>
    </row>
    <row r="36" spans="1:10" x14ac:dyDescent="0.15">
      <c r="A36" s="12">
        <f>ROW(A8)-ROW(A$7)</f>
        <v>29</v>
      </c>
      <c r="B36" s="18" t="s">
        <v>1026</v>
      </c>
      <c r="C36" s="18" t="s">
        <v>1027</v>
      </c>
      <c r="D36" s="18" t="s">
        <v>72</v>
      </c>
      <c r="E36" s="19">
        <v>19</v>
      </c>
      <c r="F36" s="14"/>
      <c r="G36" s="12"/>
      <c r="H36" s="12"/>
      <c r="I36" s="29"/>
      <c r="J36" s="29"/>
    </row>
    <row r="37" spans="1:10" x14ac:dyDescent="0.15">
      <c r="A37" s="12">
        <f>ROW(A8)-ROW(A$7)</f>
        <v>30</v>
      </c>
      <c r="B37" s="18" t="s">
        <v>1028</v>
      </c>
      <c r="C37" s="18" t="s">
        <v>1029</v>
      </c>
      <c r="D37" s="18" t="s">
        <v>138</v>
      </c>
      <c r="E37" s="19">
        <v>3</v>
      </c>
      <c r="F37" s="14"/>
      <c r="G37" s="12"/>
      <c r="H37" s="12"/>
      <c r="I37" s="29" t="s">
        <v>188</v>
      </c>
      <c r="J37" s="29"/>
    </row>
    <row r="38" spans="1:10" x14ac:dyDescent="0.15">
      <c r="A38" s="12">
        <f>ROW(A8)-ROW(A$7)</f>
        <v>31</v>
      </c>
      <c r="B38" s="18" t="s">
        <v>224</v>
      </c>
      <c r="C38" s="18" t="s">
        <v>474</v>
      </c>
      <c r="D38" s="18" t="s">
        <v>179</v>
      </c>
      <c r="E38" s="19">
        <v>64</v>
      </c>
      <c r="F38" s="14"/>
      <c r="G38" s="12"/>
      <c r="H38" s="12"/>
      <c r="I38" s="29" t="s">
        <v>1030</v>
      </c>
      <c r="J38" s="29"/>
    </row>
    <row r="39" spans="1:10" x14ac:dyDescent="0.15">
      <c r="A39" s="12">
        <f>ROW(A8)-ROW(A$7)</f>
        <v>32</v>
      </c>
      <c r="B39" s="18" t="s">
        <v>475</v>
      </c>
      <c r="C39" s="18" t="s">
        <v>476</v>
      </c>
      <c r="D39" s="18" t="s">
        <v>72</v>
      </c>
      <c r="E39" s="19">
        <v>19</v>
      </c>
      <c r="F39" s="14"/>
      <c r="G39" s="12"/>
      <c r="H39" s="12"/>
      <c r="I39" s="29"/>
      <c r="J39" s="29"/>
    </row>
    <row r="40" spans="1:10" x14ac:dyDescent="0.15">
      <c r="A40" s="12">
        <f>ROW(A8)-ROW(A$7)</f>
        <v>33</v>
      </c>
      <c r="B40" s="18" t="s">
        <v>477</v>
      </c>
      <c r="C40" s="18" t="s">
        <v>478</v>
      </c>
      <c r="D40" s="18" t="s">
        <v>98</v>
      </c>
      <c r="E40" s="19">
        <v>36</v>
      </c>
      <c r="F40" s="14"/>
      <c r="G40" s="12"/>
      <c r="H40" s="12"/>
      <c r="I40" s="29"/>
      <c r="J40" s="29"/>
    </row>
    <row r="41" spans="1:10" x14ac:dyDescent="0.15">
      <c r="A41" s="12">
        <f>ROW(A8)-ROW(A$7)</f>
        <v>34</v>
      </c>
      <c r="B41" s="18" t="s">
        <v>1031</v>
      </c>
      <c r="C41" s="18" t="s">
        <v>1032</v>
      </c>
      <c r="D41" s="18" t="s">
        <v>81</v>
      </c>
      <c r="E41" s="19">
        <v>10</v>
      </c>
      <c r="F41" s="14"/>
      <c r="G41" s="12"/>
      <c r="H41" s="12"/>
      <c r="I41" s="29" t="s">
        <v>188</v>
      </c>
      <c r="J41" s="29"/>
    </row>
    <row r="42" spans="1:10" x14ac:dyDescent="0.15">
      <c r="A42" s="12">
        <f>ROW(A8)-ROW(A$7)</f>
        <v>35</v>
      </c>
      <c r="B42" s="18" t="s">
        <v>733</v>
      </c>
      <c r="C42" s="18" t="s">
        <v>734</v>
      </c>
      <c r="D42" s="18" t="s">
        <v>735</v>
      </c>
      <c r="E42" s="19">
        <v>19</v>
      </c>
      <c r="F42" s="14"/>
      <c r="G42" s="12"/>
      <c r="H42" s="12"/>
      <c r="I42" s="29" t="s">
        <v>736</v>
      </c>
      <c r="J42" s="29"/>
    </row>
    <row r="43" spans="1:10" x14ac:dyDescent="0.15">
      <c r="A43" s="12">
        <f>ROW(A8)-ROW(A$7)</f>
        <v>36</v>
      </c>
      <c r="B43" s="18" t="s">
        <v>343</v>
      </c>
      <c r="C43" s="18" t="s">
        <v>1033</v>
      </c>
      <c r="D43" s="18" t="s">
        <v>345</v>
      </c>
      <c r="E43" s="19">
        <v>10</v>
      </c>
      <c r="F43" s="14"/>
      <c r="G43" s="12"/>
      <c r="H43" s="12"/>
      <c r="I43" s="29" t="s">
        <v>1034</v>
      </c>
      <c r="J43" s="29"/>
    </row>
    <row r="44" spans="1:10" x14ac:dyDescent="0.15">
      <c r="A44" s="12">
        <f>ROW(A8)-ROW(A$7)</f>
        <v>37</v>
      </c>
      <c r="B44" s="18" t="s">
        <v>189</v>
      </c>
      <c r="C44" s="18" t="s">
        <v>190</v>
      </c>
      <c r="D44" s="18" t="s">
        <v>81</v>
      </c>
      <c r="E44" s="19">
        <v>10</v>
      </c>
      <c r="F44" s="14"/>
      <c r="G44" s="12"/>
      <c r="H44" s="12"/>
      <c r="I44" s="29" t="s">
        <v>188</v>
      </c>
      <c r="J44" s="29"/>
    </row>
    <row r="45" spans="1:10" x14ac:dyDescent="0.15">
      <c r="A45" s="12">
        <f>ROW(A8)-ROW(A$7)</f>
        <v>38</v>
      </c>
      <c r="B45" s="18" t="s">
        <v>726</v>
      </c>
      <c r="C45" s="18" t="s">
        <v>727</v>
      </c>
      <c r="D45" s="18" t="s">
        <v>559</v>
      </c>
      <c r="E45" s="19">
        <v>12</v>
      </c>
      <c r="F45" s="14"/>
      <c r="G45" s="12"/>
      <c r="H45" s="12"/>
      <c r="I45" s="29"/>
      <c r="J45" s="29"/>
    </row>
    <row r="46" spans="1:10" x14ac:dyDescent="0.15">
      <c r="A46" s="12">
        <f>ROW(A8)-ROW(A$7)</f>
        <v>39</v>
      </c>
      <c r="B46" s="18" t="s">
        <v>731</v>
      </c>
      <c r="C46" s="18" t="s">
        <v>732</v>
      </c>
      <c r="D46" s="18" t="s">
        <v>559</v>
      </c>
      <c r="E46" s="19">
        <v>12</v>
      </c>
      <c r="F46" s="14"/>
      <c r="G46" s="12"/>
      <c r="H46" s="12"/>
      <c r="I46" s="29"/>
      <c r="J46" s="29"/>
    </row>
    <row r="47" spans="1:10" x14ac:dyDescent="0.15">
      <c r="A47" s="12">
        <f>ROW(A8)-ROW(A$7)</f>
        <v>40</v>
      </c>
      <c r="B47" s="18" t="s">
        <v>728</v>
      </c>
      <c r="C47" s="18" t="s">
        <v>729</v>
      </c>
      <c r="D47" s="18" t="s">
        <v>730</v>
      </c>
      <c r="E47" s="19">
        <v>16</v>
      </c>
      <c r="F47" s="14"/>
      <c r="G47" s="12"/>
      <c r="H47" s="12"/>
      <c r="I47" s="29"/>
      <c r="J47" s="29"/>
    </row>
    <row r="48" spans="1:10" x14ac:dyDescent="0.15">
      <c r="A48" s="12">
        <f>ROW(A8)-ROW(A$7)</f>
        <v>41</v>
      </c>
      <c r="B48" s="18" t="s">
        <v>1035</v>
      </c>
      <c r="C48" s="18" t="s">
        <v>1036</v>
      </c>
      <c r="D48" s="18" t="s">
        <v>138</v>
      </c>
      <c r="E48" s="19">
        <v>3</v>
      </c>
      <c r="F48" s="14"/>
      <c r="G48" s="12"/>
      <c r="H48" s="12"/>
      <c r="I48" s="29" t="s">
        <v>188</v>
      </c>
      <c r="J48" s="29"/>
    </row>
    <row r="49" spans="1:10" x14ac:dyDescent="0.15">
      <c r="A49" s="12">
        <f>ROW(A8)-ROW(A$7)</f>
        <v>42</v>
      </c>
      <c r="B49" s="18" t="s">
        <v>1037</v>
      </c>
      <c r="C49" s="18" t="s">
        <v>1038</v>
      </c>
      <c r="D49" s="18" t="s">
        <v>138</v>
      </c>
      <c r="E49" s="19">
        <v>3</v>
      </c>
      <c r="F49" s="14"/>
      <c r="G49" s="12"/>
      <c r="H49" s="12"/>
      <c r="I49" s="29" t="s">
        <v>188</v>
      </c>
      <c r="J49" s="29"/>
    </row>
    <row r="50" spans="1:10" x14ac:dyDescent="0.15">
      <c r="A50" s="12">
        <f>ROW(A8)-ROW(A$7)</f>
        <v>43</v>
      </c>
      <c r="B50" s="18"/>
      <c r="C50" s="18"/>
      <c r="D50" s="18"/>
      <c r="E50" s="19"/>
      <c r="F50" s="14"/>
      <c r="G50" s="12"/>
      <c r="H50" s="12"/>
      <c r="I50" s="29"/>
      <c r="J50" s="29"/>
    </row>
    <row r="51" spans="1:10" x14ac:dyDescent="0.15">
      <c r="A51" s="22" t="s">
        <v>6</v>
      </c>
      <c r="B51" s="22" t="s">
        <v>6</v>
      </c>
      <c r="C51" s="22" t="s">
        <v>6</v>
      </c>
      <c r="D51" s="13" t="s">
        <v>6</v>
      </c>
      <c r="E51" s="13" t="s">
        <v>6</v>
      </c>
      <c r="F51" s="13" t="s">
        <v>6</v>
      </c>
      <c r="G51" s="13" t="s">
        <v>6</v>
      </c>
      <c r="H51" s="13" t="s">
        <v>6</v>
      </c>
      <c r="I51" s="13" t="s">
        <v>6</v>
      </c>
      <c r="J51" s="13" t="s">
        <v>6</v>
      </c>
    </row>
    <row r="54" spans="1:10" x14ac:dyDescent="0.15">
      <c r="A54" s="11" t="s">
        <v>0</v>
      </c>
      <c r="B54" s="11" t="s">
        <v>86</v>
      </c>
      <c r="C54" s="11" t="s">
        <v>87</v>
      </c>
      <c r="D54" s="11" t="s">
        <v>88</v>
      </c>
      <c r="E54" s="11" t="s">
        <v>89</v>
      </c>
      <c r="F54" s="11" t="s">
        <v>90</v>
      </c>
      <c r="G54" s="11" t="s">
        <v>91</v>
      </c>
      <c r="H54" s="11" t="s">
        <v>92</v>
      </c>
      <c r="I54" s="11" t="s">
        <v>93</v>
      </c>
      <c r="J54" s="11" t="s">
        <v>69</v>
      </c>
    </row>
    <row r="55" spans="1:10" x14ac:dyDescent="0.15">
      <c r="A55" s="12">
        <f>ROW(A17)-ROW(A$16)</f>
        <v>1</v>
      </c>
      <c r="B55" s="18" t="s">
        <v>453</v>
      </c>
      <c r="C55" s="18" t="s">
        <v>453</v>
      </c>
      <c r="D55" s="18"/>
      <c r="E55" s="18"/>
      <c r="F55" s="18"/>
      <c r="G55" s="18"/>
      <c r="H55" s="18"/>
      <c r="I55" s="20" t="s">
        <v>15</v>
      </c>
      <c r="J55" s="18" t="s">
        <v>96</v>
      </c>
    </row>
    <row r="56" spans="1:10" x14ac:dyDescent="0.15">
      <c r="A56" s="12">
        <f>ROW(A17)-ROW(A$16)</f>
        <v>1</v>
      </c>
      <c r="B56" s="18"/>
      <c r="C56" s="18"/>
      <c r="D56" s="18"/>
      <c r="E56" s="18"/>
      <c r="F56" s="18"/>
      <c r="G56" s="18"/>
      <c r="H56" s="18"/>
      <c r="I56" s="20"/>
      <c r="J56" s="18"/>
    </row>
    <row r="57" spans="1:10" x14ac:dyDescent="0.15">
      <c r="A57" s="22" t="s">
        <v>6</v>
      </c>
      <c r="B57" s="22" t="s">
        <v>6</v>
      </c>
      <c r="C57" s="22" t="s">
        <v>6</v>
      </c>
      <c r="D57" s="13" t="s">
        <v>6</v>
      </c>
      <c r="E57" s="13" t="s">
        <v>6</v>
      </c>
      <c r="F57" s="13" t="s">
        <v>6</v>
      </c>
      <c r="G57" s="13" t="s">
        <v>6</v>
      </c>
      <c r="H57" s="13" t="s">
        <v>6</v>
      </c>
      <c r="I57" s="13" t="s">
        <v>6</v>
      </c>
      <c r="J5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7"/>
  <sheetViews>
    <sheetView workbookViewId="0"/>
  </sheetViews>
  <sheetFormatPr defaultRowHeight="13.5" x14ac:dyDescent="0.15"/>
  <cols>
    <col min="1" max="1" width="4.875" bestFit="1" customWidth="1"/>
    <col min="2" max="2" width="20.875" bestFit="1" customWidth="1"/>
    <col min="3" max="3" width="73.875" bestFit="1" customWidth="1"/>
    <col min="4" max="4" width="13.875" bestFit="1" customWidth="1"/>
    <col min="5" max="8" width="8.875" bestFit="1" customWidth="1"/>
    <col min="9" max="9" width="17.875" bestFit="1" customWidth="1"/>
    <col min="10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1039</v>
      </c>
      <c r="C1" s="24" t="str">
        <f>INDEX(目录!D:D,MATCH(B1,目录!E:E,0))</f>
        <v>志愿组织信息表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995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453</v>
      </c>
      <c r="C9" s="18" t="s">
        <v>997</v>
      </c>
      <c r="D9" s="18" t="s">
        <v>206</v>
      </c>
      <c r="E9" s="19">
        <v>32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998</v>
      </c>
      <c r="C10" s="18" t="s">
        <v>998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664</v>
      </c>
      <c r="C11" s="18" t="s">
        <v>999</v>
      </c>
      <c r="D11" s="18" t="s">
        <v>730</v>
      </c>
      <c r="E11" s="19">
        <v>16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1000</v>
      </c>
      <c r="C12" s="18" t="s">
        <v>1001</v>
      </c>
      <c r="D12" s="18" t="s">
        <v>730</v>
      </c>
      <c r="E12" s="19">
        <v>16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1002</v>
      </c>
      <c r="C13" s="18" t="s">
        <v>1003</v>
      </c>
      <c r="D13" s="18" t="s">
        <v>669</v>
      </c>
      <c r="E13" s="19">
        <v>2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1004</v>
      </c>
      <c r="C14" s="18" t="s">
        <v>1005</v>
      </c>
      <c r="D14" s="18" t="s">
        <v>75</v>
      </c>
      <c r="E14" s="19">
        <v>255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1006</v>
      </c>
      <c r="C15" s="18" t="s">
        <v>1007</v>
      </c>
      <c r="D15" s="18" t="s">
        <v>166</v>
      </c>
      <c r="E15" s="19">
        <v>128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528</v>
      </c>
      <c r="C16" s="18" t="s">
        <v>529</v>
      </c>
      <c r="D16" s="18" t="s">
        <v>730</v>
      </c>
      <c r="E16" s="19">
        <v>16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863</v>
      </c>
      <c r="C17" s="18" t="s">
        <v>1008</v>
      </c>
      <c r="D17" s="18" t="s">
        <v>179</v>
      </c>
      <c r="E17" s="19">
        <v>64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1009</v>
      </c>
      <c r="C18" s="18" t="s">
        <v>1010</v>
      </c>
      <c r="D18" s="18" t="s">
        <v>166</v>
      </c>
      <c r="E18" s="19">
        <v>128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1011</v>
      </c>
      <c r="C19" s="18" t="s">
        <v>1012</v>
      </c>
      <c r="D19" s="18" t="s">
        <v>669</v>
      </c>
      <c r="E19" s="19">
        <v>2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1013</v>
      </c>
      <c r="C20" s="18" t="s">
        <v>1014</v>
      </c>
      <c r="D20" s="18" t="s">
        <v>435</v>
      </c>
      <c r="E20" s="19">
        <v>20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533</v>
      </c>
      <c r="C21" s="18" t="s">
        <v>738</v>
      </c>
      <c r="D21" s="18" t="s">
        <v>166</v>
      </c>
      <c r="E21" s="19">
        <v>128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537</v>
      </c>
      <c r="C22" s="18" t="s">
        <v>538</v>
      </c>
      <c r="D22" s="18" t="s">
        <v>75</v>
      </c>
      <c r="E22" s="19">
        <v>255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1015</v>
      </c>
      <c r="C23" s="18" t="s">
        <v>1016</v>
      </c>
      <c r="D23" s="18" t="s">
        <v>72</v>
      </c>
      <c r="E23" s="19">
        <v>19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1017</v>
      </c>
      <c r="C24" s="18" t="s">
        <v>1018</v>
      </c>
      <c r="D24" s="18" t="s">
        <v>81</v>
      </c>
      <c r="E24" s="19">
        <v>10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255</v>
      </c>
      <c r="C25" s="18" t="s">
        <v>1019</v>
      </c>
      <c r="D25" s="18" t="s">
        <v>400</v>
      </c>
      <c r="E25" s="19">
        <v>1024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 t="s">
        <v>466</v>
      </c>
      <c r="C26" s="18" t="s">
        <v>467</v>
      </c>
      <c r="D26" s="18" t="s">
        <v>166</v>
      </c>
      <c r="E26" s="19">
        <v>128</v>
      </c>
      <c r="F26" s="14"/>
      <c r="G26" s="12"/>
      <c r="H26" s="12"/>
      <c r="I26" s="29"/>
      <c r="J26" s="29"/>
    </row>
    <row r="27" spans="1:10" x14ac:dyDescent="0.15">
      <c r="A27" s="12">
        <f>ROW(A8)-ROW(A$7)</f>
        <v>20</v>
      </c>
      <c r="B27" s="18" t="s">
        <v>468</v>
      </c>
      <c r="C27" s="18" t="s">
        <v>469</v>
      </c>
      <c r="D27" s="18" t="s">
        <v>206</v>
      </c>
      <c r="E27" s="19">
        <v>32</v>
      </c>
      <c r="F27" s="14"/>
      <c r="G27" s="12"/>
      <c r="H27" s="12"/>
      <c r="I27" s="29"/>
      <c r="J27" s="29"/>
    </row>
    <row r="28" spans="1:10" x14ac:dyDescent="0.15">
      <c r="A28" s="12">
        <f>ROW(A8)-ROW(A$7)</f>
        <v>21</v>
      </c>
      <c r="B28" s="18" t="s">
        <v>470</v>
      </c>
      <c r="C28" s="18" t="s">
        <v>471</v>
      </c>
      <c r="D28" s="18" t="s">
        <v>206</v>
      </c>
      <c r="E28" s="19">
        <v>32</v>
      </c>
      <c r="F28" s="14"/>
      <c r="G28" s="12"/>
      <c r="H28" s="12"/>
      <c r="I28" s="29"/>
      <c r="J28" s="29"/>
    </row>
    <row r="29" spans="1:10" x14ac:dyDescent="0.15">
      <c r="A29" s="12">
        <f>ROW(A8)-ROW(A$7)</f>
        <v>22</v>
      </c>
      <c r="B29" s="18" t="s">
        <v>472</v>
      </c>
      <c r="C29" s="18" t="s">
        <v>473</v>
      </c>
      <c r="D29" s="18" t="s">
        <v>179</v>
      </c>
      <c r="E29" s="19">
        <v>64</v>
      </c>
      <c r="F29" s="14"/>
      <c r="G29" s="12"/>
      <c r="H29" s="12"/>
      <c r="I29" s="29"/>
      <c r="J29" s="29"/>
    </row>
    <row r="30" spans="1:10" x14ac:dyDescent="0.15">
      <c r="A30" s="12">
        <f>ROW(A8)-ROW(A$7)</f>
        <v>23</v>
      </c>
      <c r="B30" s="18" t="s">
        <v>686</v>
      </c>
      <c r="C30" s="18" t="s">
        <v>1020</v>
      </c>
      <c r="D30" s="18" t="s">
        <v>669</v>
      </c>
      <c r="E30" s="19">
        <v>2</v>
      </c>
      <c r="F30" s="14"/>
      <c r="G30" s="12"/>
      <c r="H30" s="12"/>
      <c r="I30" s="29"/>
      <c r="J30" s="29"/>
    </row>
    <row r="31" spans="1:10" x14ac:dyDescent="0.15">
      <c r="A31" s="12">
        <f>ROW(A8)-ROW(A$7)</f>
        <v>24</v>
      </c>
      <c r="B31" s="18" t="s">
        <v>1021</v>
      </c>
      <c r="C31" s="18" t="s">
        <v>1022</v>
      </c>
      <c r="D31" s="18" t="s">
        <v>669</v>
      </c>
      <c r="E31" s="19">
        <v>2</v>
      </c>
      <c r="F31" s="14"/>
      <c r="G31" s="12"/>
      <c r="H31" s="12"/>
      <c r="I31" s="29"/>
      <c r="J31" s="29"/>
    </row>
    <row r="32" spans="1:10" x14ac:dyDescent="0.15">
      <c r="A32" s="12">
        <f>ROW(A8)-ROW(A$7)</f>
        <v>25</v>
      </c>
      <c r="B32" s="18" t="s">
        <v>711</v>
      </c>
      <c r="C32" s="18" t="s">
        <v>1023</v>
      </c>
      <c r="D32" s="18" t="s">
        <v>81</v>
      </c>
      <c r="E32" s="19">
        <v>10</v>
      </c>
      <c r="F32" s="14"/>
      <c r="G32" s="12"/>
      <c r="H32" s="12"/>
      <c r="I32" s="29" t="s">
        <v>188</v>
      </c>
      <c r="J32" s="29"/>
    </row>
    <row r="33" spans="1:10" x14ac:dyDescent="0.15">
      <c r="A33" s="12">
        <f>ROW(A8)-ROW(A$7)</f>
        <v>26</v>
      </c>
      <c r="B33" s="18" t="s">
        <v>82</v>
      </c>
      <c r="C33" s="18" t="s">
        <v>207</v>
      </c>
      <c r="D33" s="18" t="s">
        <v>81</v>
      </c>
      <c r="E33" s="19">
        <v>10</v>
      </c>
      <c r="F33" s="14"/>
      <c r="G33" s="12"/>
      <c r="H33" s="12"/>
      <c r="I33" s="29"/>
      <c r="J33" s="29"/>
    </row>
    <row r="34" spans="1:10" x14ac:dyDescent="0.15">
      <c r="A34" s="12">
        <f>ROW(A8)-ROW(A$7)</f>
        <v>27</v>
      </c>
      <c r="B34" s="18" t="s">
        <v>208</v>
      </c>
      <c r="C34" s="18" t="s">
        <v>427</v>
      </c>
      <c r="D34" s="18" t="s">
        <v>250</v>
      </c>
      <c r="E34" s="19">
        <v>256</v>
      </c>
      <c r="F34" s="14"/>
      <c r="G34" s="12"/>
      <c r="H34" s="12"/>
      <c r="I34" s="29"/>
      <c r="J34" s="29"/>
    </row>
    <row r="35" spans="1:10" x14ac:dyDescent="0.15">
      <c r="A35" s="12">
        <f>ROW(A8)-ROW(A$7)</f>
        <v>28</v>
      </c>
      <c r="B35" s="18" t="s">
        <v>1024</v>
      </c>
      <c r="C35" s="18" t="s">
        <v>1025</v>
      </c>
      <c r="D35" s="18" t="s">
        <v>72</v>
      </c>
      <c r="E35" s="19">
        <v>19</v>
      </c>
      <c r="F35" s="14"/>
      <c r="G35" s="12"/>
      <c r="H35" s="12"/>
      <c r="I35" s="29"/>
      <c r="J35" s="29"/>
    </row>
    <row r="36" spans="1:10" x14ac:dyDescent="0.15">
      <c r="A36" s="12">
        <f>ROW(A8)-ROW(A$7)</f>
        <v>29</v>
      </c>
      <c r="B36" s="18" t="s">
        <v>1026</v>
      </c>
      <c r="C36" s="18" t="s">
        <v>1027</v>
      </c>
      <c r="D36" s="18" t="s">
        <v>72</v>
      </c>
      <c r="E36" s="19">
        <v>19</v>
      </c>
      <c r="F36" s="14"/>
      <c r="G36" s="12"/>
      <c r="H36" s="12"/>
      <c r="I36" s="29"/>
      <c r="J36" s="29"/>
    </row>
    <row r="37" spans="1:10" x14ac:dyDescent="0.15">
      <c r="A37" s="12">
        <f>ROW(A8)-ROW(A$7)</f>
        <v>30</v>
      </c>
      <c r="B37" s="18" t="s">
        <v>1028</v>
      </c>
      <c r="C37" s="18" t="s">
        <v>1029</v>
      </c>
      <c r="D37" s="18" t="s">
        <v>138</v>
      </c>
      <c r="E37" s="19">
        <v>3</v>
      </c>
      <c r="F37" s="14"/>
      <c r="G37" s="12"/>
      <c r="H37" s="12"/>
      <c r="I37" s="29" t="s">
        <v>188</v>
      </c>
      <c r="J37" s="29"/>
    </row>
    <row r="38" spans="1:10" x14ac:dyDescent="0.15">
      <c r="A38" s="12">
        <f>ROW(A8)-ROW(A$7)</f>
        <v>31</v>
      </c>
      <c r="B38" s="18" t="s">
        <v>224</v>
      </c>
      <c r="C38" s="18" t="s">
        <v>474</v>
      </c>
      <c r="D38" s="18" t="s">
        <v>179</v>
      </c>
      <c r="E38" s="19">
        <v>64</v>
      </c>
      <c r="F38" s="14"/>
      <c r="G38" s="12"/>
      <c r="H38" s="12"/>
      <c r="I38" s="29" t="s">
        <v>1030</v>
      </c>
      <c r="J38" s="29"/>
    </row>
    <row r="39" spans="1:10" x14ac:dyDescent="0.15">
      <c r="A39" s="12">
        <f>ROW(A8)-ROW(A$7)</f>
        <v>32</v>
      </c>
      <c r="B39" s="18" t="s">
        <v>475</v>
      </c>
      <c r="C39" s="18" t="s">
        <v>476</v>
      </c>
      <c r="D39" s="18" t="s">
        <v>72</v>
      </c>
      <c r="E39" s="19">
        <v>19</v>
      </c>
      <c r="F39" s="14"/>
      <c r="G39" s="12"/>
      <c r="H39" s="12"/>
      <c r="I39" s="29"/>
      <c r="J39" s="29"/>
    </row>
    <row r="40" spans="1:10" x14ac:dyDescent="0.15">
      <c r="A40" s="12">
        <f>ROW(A8)-ROW(A$7)</f>
        <v>33</v>
      </c>
      <c r="B40" s="18" t="s">
        <v>477</v>
      </c>
      <c r="C40" s="18" t="s">
        <v>478</v>
      </c>
      <c r="D40" s="18" t="s">
        <v>98</v>
      </c>
      <c r="E40" s="19">
        <v>36</v>
      </c>
      <c r="F40" s="14"/>
      <c r="G40" s="12"/>
      <c r="H40" s="12"/>
      <c r="I40" s="29"/>
      <c r="J40" s="29"/>
    </row>
    <row r="41" spans="1:10" x14ac:dyDescent="0.15">
      <c r="A41" s="12">
        <f>ROW(A8)-ROW(A$7)</f>
        <v>34</v>
      </c>
      <c r="B41" s="18" t="s">
        <v>1031</v>
      </c>
      <c r="C41" s="18" t="s">
        <v>1032</v>
      </c>
      <c r="D41" s="18" t="s">
        <v>81</v>
      </c>
      <c r="E41" s="19">
        <v>10</v>
      </c>
      <c r="F41" s="14"/>
      <c r="G41" s="12"/>
      <c r="H41" s="12"/>
      <c r="I41" s="29" t="s">
        <v>188</v>
      </c>
      <c r="J41" s="29"/>
    </row>
    <row r="42" spans="1:10" x14ac:dyDescent="0.15">
      <c r="A42" s="12">
        <f>ROW(A8)-ROW(A$7)</f>
        <v>35</v>
      </c>
      <c r="B42" s="18" t="s">
        <v>733</v>
      </c>
      <c r="C42" s="18" t="s">
        <v>734</v>
      </c>
      <c r="D42" s="18" t="s">
        <v>735</v>
      </c>
      <c r="E42" s="19">
        <v>19</v>
      </c>
      <c r="F42" s="14"/>
      <c r="G42" s="12"/>
      <c r="H42" s="12"/>
      <c r="I42" s="29" t="s">
        <v>736</v>
      </c>
      <c r="J42" s="29"/>
    </row>
    <row r="43" spans="1:10" x14ac:dyDescent="0.15">
      <c r="A43" s="12">
        <f>ROW(A8)-ROW(A$7)</f>
        <v>36</v>
      </c>
      <c r="B43" s="18" t="s">
        <v>343</v>
      </c>
      <c r="C43" s="18" t="s">
        <v>1033</v>
      </c>
      <c r="D43" s="18" t="s">
        <v>345</v>
      </c>
      <c r="E43" s="19">
        <v>10</v>
      </c>
      <c r="F43" s="14"/>
      <c r="G43" s="12"/>
      <c r="H43" s="12"/>
      <c r="I43" s="29" t="s">
        <v>1034</v>
      </c>
      <c r="J43" s="29"/>
    </row>
    <row r="44" spans="1:10" x14ac:dyDescent="0.15">
      <c r="A44" s="12">
        <f>ROW(A8)-ROW(A$7)</f>
        <v>37</v>
      </c>
      <c r="B44" s="18" t="s">
        <v>189</v>
      </c>
      <c r="C44" s="18" t="s">
        <v>190</v>
      </c>
      <c r="D44" s="18" t="s">
        <v>81</v>
      </c>
      <c r="E44" s="19">
        <v>10</v>
      </c>
      <c r="F44" s="14"/>
      <c r="G44" s="12"/>
      <c r="H44" s="12"/>
      <c r="I44" s="29" t="s">
        <v>188</v>
      </c>
      <c r="J44" s="29"/>
    </row>
    <row r="45" spans="1:10" x14ac:dyDescent="0.15">
      <c r="A45" s="12">
        <f>ROW(A8)-ROW(A$7)</f>
        <v>38</v>
      </c>
      <c r="B45" s="18" t="s">
        <v>726</v>
      </c>
      <c r="C45" s="18" t="s">
        <v>727</v>
      </c>
      <c r="D45" s="18" t="s">
        <v>559</v>
      </c>
      <c r="E45" s="19">
        <v>12</v>
      </c>
      <c r="F45" s="14"/>
      <c r="G45" s="12"/>
      <c r="H45" s="12"/>
      <c r="I45" s="29"/>
      <c r="J45" s="29"/>
    </row>
    <row r="46" spans="1:10" x14ac:dyDescent="0.15">
      <c r="A46" s="12">
        <f>ROW(A8)-ROW(A$7)</f>
        <v>39</v>
      </c>
      <c r="B46" s="18" t="s">
        <v>731</v>
      </c>
      <c r="C46" s="18" t="s">
        <v>732</v>
      </c>
      <c r="D46" s="18" t="s">
        <v>559</v>
      </c>
      <c r="E46" s="19">
        <v>12</v>
      </c>
      <c r="F46" s="14"/>
      <c r="G46" s="12"/>
      <c r="H46" s="12"/>
      <c r="I46" s="29"/>
      <c r="J46" s="29"/>
    </row>
    <row r="47" spans="1:10" x14ac:dyDescent="0.15">
      <c r="A47" s="12">
        <f>ROW(A8)-ROW(A$7)</f>
        <v>40</v>
      </c>
      <c r="B47" s="18" t="s">
        <v>728</v>
      </c>
      <c r="C47" s="18" t="s">
        <v>729</v>
      </c>
      <c r="D47" s="18" t="s">
        <v>730</v>
      </c>
      <c r="E47" s="19">
        <v>16</v>
      </c>
      <c r="F47" s="14"/>
      <c r="G47" s="12"/>
      <c r="H47" s="12"/>
      <c r="I47" s="29"/>
      <c r="J47" s="29"/>
    </row>
    <row r="48" spans="1:10" x14ac:dyDescent="0.15">
      <c r="A48" s="12">
        <f>ROW(A8)-ROW(A$7)</f>
        <v>41</v>
      </c>
      <c r="B48" s="18" t="s">
        <v>1035</v>
      </c>
      <c r="C48" s="18" t="s">
        <v>1036</v>
      </c>
      <c r="D48" s="18" t="s">
        <v>138</v>
      </c>
      <c r="E48" s="19">
        <v>3</v>
      </c>
      <c r="F48" s="14"/>
      <c r="G48" s="12"/>
      <c r="H48" s="12"/>
      <c r="I48" s="29"/>
      <c r="J48" s="29"/>
    </row>
    <row r="49" spans="1:10" x14ac:dyDescent="0.15">
      <c r="A49" s="12">
        <f>ROW(A8)-ROW(A$7)</f>
        <v>42</v>
      </c>
      <c r="B49" s="18" t="s">
        <v>1037</v>
      </c>
      <c r="C49" s="18" t="s">
        <v>1040</v>
      </c>
      <c r="D49" s="18" t="s">
        <v>138</v>
      </c>
      <c r="E49" s="19">
        <v>3</v>
      </c>
      <c r="F49" s="14"/>
      <c r="G49" s="12"/>
      <c r="H49" s="12"/>
      <c r="I49" s="29"/>
      <c r="J49" s="29"/>
    </row>
    <row r="50" spans="1:10" x14ac:dyDescent="0.15">
      <c r="A50" s="12">
        <f>ROW(A8)-ROW(A$7)</f>
        <v>43</v>
      </c>
      <c r="B50" s="18"/>
      <c r="C50" s="18"/>
      <c r="D50" s="18"/>
      <c r="E50" s="19"/>
      <c r="F50" s="14"/>
      <c r="G50" s="12"/>
      <c r="H50" s="12"/>
      <c r="I50" s="29"/>
      <c r="J50" s="29"/>
    </row>
    <row r="51" spans="1:10" x14ac:dyDescent="0.15">
      <c r="A51" s="22" t="s">
        <v>6</v>
      </c>
      <c r="B51" s="22" t="s">
        <v>6</v>
      </c>
      <c r="C51" s="22" t="s">
        <v>6</v>
      </c>
      <c r="D51" s="13" t="s">
        <v>6</v>
      </c>
      <c r="E51" s="13" t="s">
        <v>6</v>
      </c>
      <c r="F51" s="13" t="s">
        <v>6</v>
      </c>
      <c r="G51" s="13" t="s">
        <v>6</v>
      </c>
      <c r="H51" s="13" t="s">
        <v>6</v>
      </c>
      <c r="I51" s="13" t="s">
        <v>6</v>
      </c>
      <c r="J51" s="13" t="s">
        <v>6</v>
      </c>
    </row>
    <row r="54" spans="1:10" x14ac:dyDescent="0.15">
      <c r="A54" s="11" t="s">
        <v>0</v>
      </c>
      <c r="B54" s="11" t="s">
        <v>86</v>
      </c>
      <c r="C54" s="11" t="s">
        <v>87</v>
      </c>
      <c r="D54" s="11" t="s">
        <v>88</v>
      </c>
      <c r="E54" s="11" t="s">
        <v>89</v>
      </c>
      <c r="F54" s="11" t="s">
        <v>90</v>
      </c>
      <c r="G54" s="11" t="s">
        <v>91</v>
      </c>
      <c r="H54" s="11" t="s">
        <v>92</v>
      </c>
      <c r="I54" s="11" t="s">
        <v>93</v>
      </c>
      <c r="J54" s="11" t="s">
        <v>69</v>
      </c>
    </row>
    <row r="55" spans="1:10" x14ac:dyDescent="0.15">
      <c r="A55" s="12">
        <f>ROW(A17)-ROW(A$16)</f>
        <v>1</v>
      </c>
      <c r="B55" s="18" t="s">
        <v>453</v>
      </c>
      <c r="C55" s="18" t="s">
        <v>453</v>
      </c>
      <c r="D55" s="18"/>
      <c r="E55" s="18"/>
      <c r="F55" s="18"/>
      <c r="G55" s="18"/>
      <c r="H55" s="18"/>
      <c r="I55" s="20" t="s">
        <v>15</v>
      </c>
      <c r="J55" s="18" t="s">
        <v>96</v>
      </c>
    </row>
    <row r="56" spans="1:10" x14ac:dyDescent="0.15">
      <c r="A56" s="12">
        <f>ROW(A17)-ROW(A$16)</f>
        <v>1</v>
      </c>
      <c r="B56" s="18"/>
      <c r="C56" s="18"/>
      <c r="D56" s="18"/>
      <c r="E56" s="18"/>
      <c r="F56" s="18"/>
      <c r="G56" s="18"/>
      <c r="H56" s="18"/>
      <c r="I56" s="20"/>
      <c r="J56" s="18"/>
    </row>
    <row r="57" spans="1:10" x14ac:dyDescent="0.15">
      <c r="A57" s="22" t="s">
        <v>6</v>
      </c>
      <c r="B57" s="22" t="s">
        <v>6</v>
      </c>
      <c r="C57" s="22" t="s">
        <v>6</v>
      </c>
      <c r="D57" s="13" t="s">
        <v>6</v>
      </c>
      <c r="E57" s="13" t="s">
        <v>6</v>
      </c>
      <c r="F57" s="13" t="s">
        <v>6</v>
      </c>
      <c r="G57" s="13" t="s">
        <v>6</v>
      </c>
      <c r="H57" s="13" t="s">
        <v>6</v>
      </c>
      <c r="I57" s="13" t="s">
        <v>6</v>
      </c>
      <c r="J5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/>
  </sheetViews>
  <sheetFormatPr defaultRowHeight="13.5" x14ac:dyDescent="0.15"/>
  <cols>
    <col min="1" max="1" width="4.875" bestFit="1" customWidth="1"/>
    <col min="2" max="3" width="18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1042</v>
      </c>
      <c r="C1" s="24" t="str">
        <f>INDEX(目录!D:D,MATCH(B1,目录!E:E,0))</f>
        <v>社区邀请组织记录表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1041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1043</v>
      </c>
      <c r="C9" s="18" t="s">
        <v>1044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462</v>
      </c>
      <c r="C10" s="18" t="s">
        <v>1045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127</v>
      </c>
      <c r="C11" s="18" t="s">
        <v>1046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343</v>
      </c>
      <c r="C12" s="18" t="s">
        <v>480</v>
      </c>
      <c r="D12" s="18" t="s">
        <v>325</v>
      </c>
      <c r="E12" s="19">
        <v>64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1047</v>
      </c>
      <c r="C13" s="18" t="s">
        <v>1048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1049</v>
      </c>
      <c r="C14" s="18" t="s">
        <v>496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139</v>
      </c>
      <c r="C15" s="18" t="s">
        <v>321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 t="s">
        <v>1050</v>
      </c>
      <c r="C21" s="18" t="s">
        <v>1043</v>
      </c>
      <c r="D21" s="18" t="s">
        <v>462</v>
      </c>
      <c r="E21" s="18"/>
      <c r="F21" s="18"/>
      <c r="G21" s="18"/>
      <c r="H21" s="18"/>
      <c r="I21" s="20" t="s">
        <v>15</v>
      </c>
      <c r="J21" s="18" t="s">
        <v>96</v>
      </c>
    </row>
    <row r="22" spans="1:10" x14ac:dyDescent="0.15">
      <c r="A22" s="12">
        <f>ROW(A17)-ROW(A$16)</f>
        <v>1</v>
      </c>
      <c r="B22" s="18"/>
      <c r="C22" s="18"/>
      <c r="D22" s="18"/>
      <c r="E22" s="18"/>
      <c r="F22" s="18"/>
      <c r="G22" s="18"/>
      <c r="H22" s="18"/>
      <c r="I22" s="20"/>
      <c r="J22" s="18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6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28.875" bestFit="1" customWidth="1"/>
    <col min="4" max="4" width="11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1052</v>
      </c>
      <c r="C1" s="24" t="str">
        <f>INDEX(目录!D:D,MATCH(B1,目录!E:E,0))</f>
        <v>志愿团体加入表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1051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462</v>
      </c>
      <c r="C9" s="18" t="s">
        <v>1053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671</v>
      </c>
      <c r="C10" s="18" t="s">
        <v>672</v>
      </c>
      <c r="D10" s="18" t="s">
        <v>179</v>
      </c>
      <c r="E10" s="19">
        <v>64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127</v>
      </c>
      <c r="C11" s="18" t="s">
        <v>745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139</v>
      </c>
      <c r="C12" s="18" t="s">
        <v>346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224</v>
      </c>
      <c r="C13" s="18" t="s">
        <v>754</v>
      </c>
      <c r="D13" s="18" t="s">
        <v>325</v>
      </c>
      <c r="E13" s="19">
        <v>64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475</v>
      </c>
      <c r="C14" s="18" t="s">
        <v>476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477</v>
      </c>
      <c r="C15" s="18" t="s">
        <v>478</v>
      </c>
      <c r="D15" s="18" t="s">
        <v>98</v>
      </c>
      <c r="E15" s="19">
        <v>36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 t="s">
        <v>1054</v>
      </c>
      <c r="C21" s="18" t="s">
        <v>671</v>
      </c>
      <c r="D21" s="18"/>
      <c r="E21" s="18"/>
      <c r="F21" s="18"/>
      <c r="G21" s="18"/>
      <c r="H21" s="18"/>
      <c r="I21" s="20" t="s">
        <v>95</v>
      </c>
      <c r="J21" s="18" t="s">
        <v>96</v>
      </c>
    </row>
    <row r="22" spans="1:10" x14ac:dyDescent="0.15">
      <c r="A22" s="12">
        <f>ROW(A17)-ROW(A$16)</f>
        <v>2</v>
      </c>
      <c r="B22" s="18" t="s">
        <v>1055</v>
      </c>
      <c r="C22" s="18" t="s">
        <v>462</v>
      </c>
      <c r="D22" s="18" t="s">
        <v>127</v>
      </c>
      <c r="E22" s="18"/>
      <c r="F22" s="18"/>
      <c r="G22" s="18"/>
      <c r="H22" s="18"/>
      <c r="I22" s="20" t="s">
        <v>15</v>
      </c>
      <c r="J22" s="18" t="s">
        <v>96</v>
      </c>
    </row>
    <row r="23" spans="1:10" x14ac:dyDescent="0.15">
      <c r="A23" s="12">
        <f>ROW(A17)-ROW(A$16)</f>
        <v>3</v>
      </c>
      <c r="B23" s="18" t="s">
        <v>1056</v>
      </c>
      <c r="C23" s="18" t="s">
        <v>462</v>
      </c>
      <c r="D23" s="18"/>
      <c r="E23" s="18"/>
      <c r="F23" s="18"/>
      <c r="G23" s="18"/>
      <c r="H23" s="18"/>
      <c r="I23" s="20" t="s">
        <v>95</v>
      </c>
      <c r="J23" s="18" t="s">
        <v>96</v>
      </c>
    </row>
    <row r="24" spans="1:10" x14ac:dyDescent="0.15">
      <c r="A24" s="12">
        <f>ROW(A17)-ROW(A$16)</f>
        <v>4</v>
      </c>
      <c r="B24" s="18" t="s">
        <v>1057</v>
      </c>
      <c r="C24" s="18" t="s">
        <v>127</v>
      </c>
      <c r="D24" s="18"/>
      <c r="E24" s="18"/>
      <c r="F24" s="18"/>
      <c r="G24" s="18"/>
      <c r="H24" s="18"/>
      <c r="I24" s="20" t="s">
        <v>95</v>
      </c>
      <c r="J24" s="18" t="s">
        <v>96</v>
      </c>
    </row>
    <row r="25" spans="1:10" x14ac:dyDescent="0.15">
      <c r="A25" s="12">
        <f>ROW(A17)-ROW(A$16)</f>
        <v>1</v>
      </c>
      <c r="B25" s="18"/>
      <c r="C25" s="18"/>
      <c r="D25" s="18"/>
      <c r="E25" s="18"/>
      <c r="F25" s="18"/>
      <c r="G25" s="18"/>
      <c r="H25" s="18"/>
      <c r="I25" s="20"/>
      <c r="J25" s="18"/>
    </row>
    <row r="26" spans="1:10" x14ac:dyDescent="0.15">
      <c r="A26" s="22" t="s">
        <v>6</v>
      </c>
      <c r="B26" s="22" t="s">
        <v>6</v>
      </c>
      <c r="C26" s="22" t="s">
        <v>6</v>
      </c>
      <c r="D26" s="13" t="s">
        <v>6</v>
      </c>
      <c r="E26" s="13" t="s">
        <v>6</v>
      </c>
      <c r="F26" s="13" t="s">
        <v>6</v>
      </c>
      <c r="G26" s="13" t="s">
        <v>6</v>
      </c>
      <c r="H26" s="13" t="s">
        <v>6</v>
      </c>
      <c r="I26" s="13" t="s">
        <v>6</v>
      </c>
      <c r="J26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23.875" bestFit="1" customWidth="1"/>
    <col min="4" max="4" width="11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1059</v>
      </c>
      <c r="C1" s="24" t="str">
        <f>INDEX(目录!D:D,MATCH(B1,目录!E:E,0))</f>
        <v>志愿组织管理人员表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1058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462</v>
      </c>
      <c r="C9" s="18" t="s">
        <v>1045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745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777</v>
      </c>
      <c r="C11" s="18" t="s">
        <v>1060</v>
      </c>
      <c r="D11" s="18" t="s">
        <v>163</v>
      </c>
      <c r="E11" s="19">
        <v>16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1061</v>
      </c>
      <c r="C12" s="18" t="s">
        <v>1061</v>
      </c>
      <c r="D12" s="18" t="s">
        <v>138</v>
      </c>
      <c r="E12" s="19">
        <v>3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/>
      <c r="C13" s="18"/>
      <c r="D13" s="18"/>
      <c r="E13" s="19"/>
      <c r="F13" s="14"/>
      <c r="G13" s="12"/>
      <c r="H13" s="12"/>
      <c r="I13" s="29"/>
      <c r="J13" s="29"/>
    </row>
    <row r="14" spans="1:10" x14ac:dyDescent="0.15">
      <c r="A14" s="22" t="s">
        <v>6</v>
      </c>
      <c r="B14" s="22" t="s">
        <v>6</v>
      </c>
      <c r="C14" s="22" t="s">
        <v>6</v>
      </c>
      <c r="D14" s="13" t="s">
        <v>6</v>
      </c>
      <c r="E14" s="13" t="s">
        <v>6</v>
      </c>
      <c r="F14" s="13" t="s">
        <v>6</v>
      </c>
      <c r="G14" s="13" t="s">
        <v>6</v>
      </c>
      <c r="H14" s="13" t="s">
        <v>6</v>
      </c>
      <c r="I14" s="13" t="s">
        <v>6</v>
      </c>
      <c r="J14" s="13" t="s">
        <v>6</v>
      </c>
    </row>
    <row r="17" spans="1:10" x14ac:dyDescent="0.15">
      <c r="A17" s="11" t="s">
        <v>0</v>
      </c>
      <c r="B17" s="11" t="s">
        <v>86</v>
      </c>
      <c r="C17" s="11" t="s">
        <v>87</v>
      </c>
      <c r="D17" s="11" t="s">
        <v>88</v>
      </c>
      <c r="E17" s="11" t="s">
        <v>89</v>
      </c>
      <c r="F17" s="11" t="s">
        <v>90</v>
      </c>
      <c r="G17" s="11" t="s">
        <v>91</v>
      </c>
      <c r="H17" s="11" t="s">
        <v>92</v>
      </c>
      <c r="I17" s="11" t="s">
        <v>93</v>
      </c>
      <c r="J17" s="11" t="s">
        <v>69</v>
      </c>
    </row>
    <row r="18" spans="1:10" x14ac:dyDescent="0.15">
      <c r="A18" s="12">
        <f>ROW(A17)-ROW(A$16)</f>
        <v>1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22" t="s">
        <v>6</v>
      </c>
      <c r="B19" s="22" t="s">
        <v>6</v>
      </c>
      <c r="C19" s="22" t="s">
        <v>6</v>
      </c>
      <c r="D19" s="13" t="s">
        <v>6</v>
      </c>
      <c r="E19" s="13" t="s">
        <v>6</v>
      </c>
      <c r="F19" s="13" t="s">
        <v>6</v>
      </c>
      <c r="G19" s="13" t="s">
        <v>6</v>
      </c>
      <c r="H19" s="13" t="s">
        <v>6</v>
      </c>
      <c r="I19" s="13" t="s">
        <v>6</v>
      </c>
      <c r="J19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7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4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1063</v>
      </c>
      <c r="C1" s="24" t="str">
        <f>INDEX(目录!D:D,MATCH(B1,目录!E:E,0))</f>
        <v>支付接口日志表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1062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393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1064</v>
      </c>
      <c r="C9" s="18" t="s">
        <v>974</v>
      </c>
      <c r="D9" s="18" t="s">
        <v>163</v>
      </c>
      <c r="E9" s="19">
        <v>16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328</v>
      </c>
      <c r="C10" s="18" t="s">
        <v>324</v>
      </c>
      <c r="D10" s="18" t="s">
        <v>166</v>
      </c>
      <c r="E10" s="19">
        <v>128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 t="s">
        <v>819</v>
      </c>
      <c r="C11" s="18" t="s">
        <v>480</v>
      </c>
      <c r="D11" s="18" t="s">
        <v>166</v>
      </c>
      <c r="E11" s="19">
        <v>128</v>
      </c>
      <c r="F11" s="14"/>
      <c r="G11" s="12"/>
      <c r="H11" s="12" t="s">
        <v>15</v>
      </c>
      <c r="I11" s="29"/>
      <c r="J11" s="29"/>
    </row>
    <row r="12" spans="1:10" x14ac:dyDescent="0.15">
      <c r="A12" s="12">
        <f>ROW(A8)-ROW(A$7)</f>
        <v>5</v>
      </c>
      <c r="B12" s="18" t="s">
        <v>1065</v>
      </c>
      <c r="C12" s="18" t="s">
        <v>971</v>
      </c>
      <c r="D12" s="18" t="s">
        <v>559</v>
      </c>
      <c r="E12" s="19">
        <v>8</v>
      </c>
      <c r="F12" s="14">
        <v>2</v>
      </c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1066</v>
      </c>
      <c r="C13" s="18" t="s">
        <v>1067</v>
      </c>
      <c r="D13" s="18" t="s">
        <v>78</v>
      </c>
      <c r="E13" s="19">
        <v>65535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1068</v>
      </c>
      <c r="C14" s="18" t="s">
        <v>1069</v>
      </c>
      <c r="D14" s="18" t="s">
        <v>78</v>
      </c>
      <c r="E14" s="19">
        <v>65535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139</v>
      </c>
      <c r="C15" s="18" t="s">
        <v>321</v>
      </c>
      <c r="D15" s="18" t="s">
        <v>735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1070</v>
      </c>
      <c r="C16" s="18" t="s">
        <v>1071</v>
      </c>
      <c r="D16" s="18" t="s">
        <v>166</v>
      </c>
      <c r="E16" s="19">
        <v>128</v>
      </c>
      <c r="F16" s="14"/>
      <c r="G16" s="12"/>
      <c r="H16" s="12" t="s">
        <v>15</v>
      </c>
      <c r="I16" s="29"/>
      <c r="J16" s="29"/>
    </row>
    <row r="17" spans="1:10" x14ac:dyDescent="0.15">
      <c r="A17" s="12">
        <f>ROW(A8)-ROW(A$7)</f>
        <v>10</v>
      </c>
      <c r="B17" s="18" t="s">
        <v>1072</v>
      </c>
      <c r="C17" s="18" t="s">
        <v>745</v>
      </c>
      <c r="D17" s="18" t="s">
        <v>81</v>
      </c>
      <c r="E17" s="19">
        <v>10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1073</v>
      </c>
      <c r="C18" s="18" t="s">
        <v>1074</v>
      </c>
      <c r="D18" s="18" t="s">
        <v>78</v>
      </c>
      <c r="E18" s="19">
        <v>65535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1075</v>
      </c>
      <c r="C19" s="18" t="s">
        <v>1076</v>
      </c>
      <c r="D19" s="18" t="s">
        <v>81</v>
      </c>
      <c r="E19" s="19">
        <v>10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1077</v>
      </c>
      <c r="C20" s="18" t="s">
        <v>1078</v>
      </c>
      <c r="D20" s="18" t="s">
        <v>166</v>
      </c>
      <c r="E20" s="19">
        <v>128</v>
      </c>
      <c r="F20" s="14"/>
      <c r="G20" s="12"/>
      <c r="H20" s="12" t="s">
        <v>15</v>
      </c>
      <c r="I20" s="29"/>
      <c r="J20" s="29"/>
    </row>
    <row r="21" spans="1:10" x14ac:dyDescent="0.15">
      <c r="A21" s="12">
        <f>ROW(A8)-ROW(A$7)</f>
        <v>14</v>
      </c>
      <c r="B21" s="18"/>
      <c r="C21" s="18"/>
      <c r="D21" s="18"/>
      <c r="E21" s="19"/>
      <c r="F21" s="14"/>
      <c r="G21" s="12"/>
      <c r="H21" s="12"/>
      <c r="I21" s="29"/>
      <c r="J21" s="29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  <row r="25" spans="1:10" x14ac:dyDescent="0.15">
      <c r="A25" s="11" t="s">
        <v>0</v>
      </c>
      <c r="B25" s="11" t="s">
        <v>86</v>
      </c>
      <c r="C25" s="11" t="s">
        <v>87</v>
      </c>
      <c r="D25" s="11" t="s">
        <v>88</v>
      </c>
      <c r="E25" s="11" t="s">
        <v>89</v>
      </c>
      <c r="F25" s="11" t="s">
        <v>90</v>
      </c>
      <c r="G25" s="11" t="s">
        <v>91</v>
      </c>
      <c r="H25" s="11" t="s">
        <v>92</v>
      </c>
      <c r="I25" s="11" t="s">
        <v>93</v>
      </c>
      <c r="J25" s="11" t="s">
        <v>69</v>
      </c>
    </row>
    <row r="26" spans="1:10" x14ac:dyDescent="0.15">
      <c r="A26" s="12">
        <f>ROW(A17)-ROW(A$16)</f>
        <v>1</v>
      </c>
      <c r="B26" s="18"/>
      <c r="C26" s="18"/>
      <c r="D26" s="18"/>
      <c r="E26" s="18"/>
      <c r="F26" s="18"/>
      <c r="G26" s="18"/>
      <c r="H26" s="18"/>
      <c r="I26" s="20"/>
      <c r="J26" s="18"/>
    </row>
    <row r="27" spans="1:10" x14ac:dyDescent="0.15">
      <c r="A27" s="22" t="s">
        <v>6</v>
      </c>
      <c r="B27" s="22" t="s">
        <v>6</v>
      </c>
      <c r="C27" s="22" t="s">
        <v>6</v>
      </c>
      <c r="D27" s="13" t="s">
        <v>6</v>
      </c>
      <c r="E27" s="13" t="s">
        <v>6</v>
      </c>
      <c r="F27" s="13" t="s">
        <v>6</v>
      </c>
      <c r="G27" s="13" t="s">
        <v>6</v>
      </c>
      <c r="H27" s="13" t="s">
        <v>6</v>
      </c>
      <c r="I27" s="13" t="s">
        <v>6</v>
      </c>
      <c r="J2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8"/>
  <sheetViews>
    <sheetView workbookViewId="0"/>
  </sheetViews>
  <sheetFormatPr defaultRowHeight="13.5" x14ac:dyDescent="0.15"/>
  <cols>
    <col min="1" max="1" width="4.875" bestFit="1" customWidth="1"/>
    <col min="2" max="2" width="17.875" bestFit="1" customWidth="1"/>
    <col min="3" max="3" width="26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1080</v>
      </c>
      <c r="C1" s="24" t="str">
        <f>INDEX(目录!D:D,MATCH(B1,目录!E:E,0))</f>
        <v>志愿服务项目信息表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1079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664</v>
      </c>
      <c r="C9" s="18" t="s">
        <v>1081</v>
      </c>
      <c r="D9" s="18" t="s">
        <v>81</v>
      </c>
      <c r="E9" s="19">
        <v>10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453</v>
      </c>
      <c r="C10" s="18" t="s">
        <v>903</v>
      </c>
      <c r="D10" s="18" t="s">
        <v>163</v>
      </c>
      <c r="E10" s="19">
        <v>16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667</v>
      </c>
      <c r="C11" s="18" t="s">
        <v>1082</v>
      </c>
      <c r="D11" s="18" t="s">
        <v>669</v>
      </c>
      <c r="E11" s="19">
        <v>2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528</v>
      </c>
      <c r="C12" s="18" t="s">
        <v>670</v>
      </c>
      <c r="D12" s="18" t="s">
        <v>98</v>
      </c>
      <c r="E12" s="19">
        <v>36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537</v>
      </c>
      <c r="C13" s="18" t="s">
        <v>1083</v>
      </c>
      <c r="D13" s="18" t="s">
        <v>1084</v>
      </c>
      <c r="E13" s="19">
        <v>128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354</v>
      </c>
      <c r="C14" s="18" t="s">
        <v>1085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184</v>
      </c>
      <c r="C15" s="18" t="s">
        <v>1086</v>
      </c>
      <c r="D15" s="18" t="s">
        <v>72</v>
      </c>
      <c r="E15" s="19">
        <v>19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197</v>
      </c>
      <c r="C16" s="18" t="s">
        <v>1087</v>
      </c>
      <c r="D16" s="18" t="s">
        <v>669</v>
      </c>
      <c r="E16" s="19">
        <v>2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676</v>
      </c>
      <c r="C17" s="18" t="s">
        <v>1088</v>
      </c>
      <c r="D17" s="18" t="s">
        <v>559</v>
      </c>
      <c r="E17" s="19">
        <v>12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678</v>
      </c>
      <c r="C18" s="18" t="s">
        <v>1089</v>
      </c>
      <c r="D18" s="18" t="s">
        <v>559</v>
      </c>
      <c r="E18" s="19">
        <v>12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1031</v>
      </c>
      <c r="C19" s="18" t="s">
        <v>1090</v>
      </c>
      <c r="D19" s="18" t="s">
        <v>81</v>
      </c>
      <c r="E19" s="19">
        <v>10</v>
      </c>
      <c r="F19" s="14"/>
      <c r="G19" s="12"/>
      <c r="H19" s="12"/>
      <c r="I19" s="29" t="s">
        <v>188</v>
      </c>
      <c r="J19" s="29"/>
    </row>
    <row r="20" spans="1:10" x14ac:dyDescent="0.15">
      <c r="A20" s="12">
        <f>ROW(A8)-ROW(A$7)</f>
        <v>13</v>
      </c>
      <c r="B20" s="18" t="s">
        <v>680</v>
      </c>
      <c r="C20" s="18" t="s">
        <v>681</v>
      </c>
      <c r="D20" s="18" t="s">
        <v>669</v>
      </c>
      <c r="E20" s="19">
        <v>2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682</v>
      </c>
      <c r="C21" s="18" t="s">
        <v>683</v>
      </c>
      <c r="D21" s="18" t="s">
        <v>1091</v>
      </c>
      <c r="E21" s="19">
        <v>9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684</v>
      </c>
      <c r="C22" s="18" t="s">
        <v>685</v>
      </c>
      <c r="D22" s="18" t="s">
        <v>166</v>
      </c>
      <c r="E22" s="19">
        <v>128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686</v>
      </c>
      <c r="C23" s="18" t="s">
        <v>687</v>
      </c>
      <c r="D23" s="18" t="s">
        <v>669</v>
      </c>
      <c r="E23" s="19">
        <v>2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688</v>
      </c>
      <c r="C24" s="18" t="s">
        <v>689</v>
      </c>
      <c r="D24" s="18" t="s">
        <v>81</v>
      </c>
      <c r="E24" s="19">
        <v>10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216</v>
      </c>
      <c r="C25" s="18" t="s">
        <v>1092</v>
      </c>
      <c r="D25" s="18" t="s">
        <v>400</v>
      </c>
      <c r="E25" s="19">
        <v>1024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 t="s">
        <v>691</v>
      </c>
      <c r="C26" s="18" t="s">
        <v>692</v>
      </c>
      <c r="D26" s="18" t="s">
        <v>166</v>
      </c>
      <c r="E26" s="19">
        <v>128</v>
      </c>
      <c r="F26" s="14"/>
      <c r="G26" s="12"/>
      <c r="H26" s="12"/>
      <c r="I26" s="29"/>
      <c r="J26" s="29"/>
    </row>
    <row r="27" spans="1:10" x14ac:dyDescent="0.15">
      <c r="A27" s="12">
        <f>ROW(A8)-ROW(A$7)</f>
        <v>20</v>
      </c>
      <c r="B27" s="18" t="s">
        <v>693</v>
      </c>
      <c r="C27" s="18" t="s">
        <v>694</v>
      </c>
      <c r="D27" s="18" t="s">
        <v>81</v>
      </c>
      <c r="E27" s="19">
        <v>10</v>
      </c>
      <c r="F27" s="14"/>
      <c r="G27" s="12"/>
      <c r="H27" s="12"/>
      <c r="I27" s="29"/>
      <c r="J27" s="29"/>
    </row>
    <row r="28" spans="1:10" x14ac:dyDescent="0.15">
      <c r="A28" s="12">
        <f>ROW(A8)-ROW(A$7)</f>
        <v>21</v>
      </c>
      <c r="B28" s="18" t="s">
        <v>695</v>
      </c>
      <c r="C28" s="18" t="s">
        <v>696</v>
      </c>
      <c r="D28" s="18" t="s">
        <v>400</v>
      </c>
      <c r="E28" s="19">
        <v>1024</v>
      </c>
      <c r="F28" s="14"/>
      <c r="G28" s="12"/>
      <c r="H28" s="12"/>
      <c r="I28" s="29"/>
      <c r="J28" s="29"/>
    </row>
    <row r="29" spans="1:10" x14ac:dyDescent="0.15">
      <c r="A29" s="12">
        <f>ROW(A8)-ROW(A$7)</f>
        <v>22</v>
      </c>
      <c r="B29" s="18" t="s">
        <v>697</v>
      </c>
      <c r="C29" s="18" t="s">
        <v>698</v>
      </c>
      <c r="D29" s="18" t="s">
        <v>400</v>
      </c>
      <c r="E29" s="19">
        <v>1024</v>
      </c>
      <c r="F29" s="14"/>
      <c r="G29" s="12"/>
      <c r="H29" s="12"/>
      <c r="I29" s="29"/>
      <c r="J29" s="29"/>
    </row>
    <row r="30" spans="1:10" x14ac:dyDescent="0.15">
      <c r="A30" s="12">
        <f>ROW(A8)-ROW(A$7)</f>
        <v>23</v>
      </c>
      <c r="B30" s="18" t="s">
        <v>699</v>
      </c>
      <c r="C30" s="18" t="s">
        <v>700</v>
      </c>
      <c r="D30" s="18" t="s">
        <v>669</v>
      </c>
      <c r="E30" s="19">
        <v>2</v>
      </c>
      <c r="F30" s="14"/>
      <c r="G30" s="12"/>
      <c r="H30" s="12"/>
      <c r="I30" s="29"/>
      <c r="J30" s="29"/>
    </row>
    <row r="31" spans="1:10" x14ac:dyDescent="0.15">
      <c r="A31" s="12">
        <f>ROW(A8)-ROW(A$7)</f>
        <v>24</v>
      </c>
      <c r="B31" s="18" t="s">
        <v>701</v>
      </c>
      <c r="C31" s="18" t="s">
        <v>702</v>
      </c>
      <c r="D31" s="18" t="s">
        <v>669</v>
      </c>
      <c r="E31" s="19">
        <v>2</v>
      </c>
      <c r="F31" s="14"/>
      <c r="G31" s="12"/>
      <c r="H31" s="12"/>
      <c r="I31" s="29"/>
      <c r="J31" s="29"/>
    </row>
    <row r="32" spans="1:10" x14ac:dyDescent="0.15">
      <c r="A32" s="12">
        <f>ROW(A8)-ROW(A$7)</f>
        <v>25</v>
      </c>
      <c r="B32" s="18" t="s">
        <v>703</v>
      </c>
      <c r="C32" s="18" t="s">
        <v>704</v>
      </c>
      <c r="D32" s="18" t="s">
        <v>72</v>
      </c>
      <c r="E32" s="19">
        <v>19</v>
      </c>
      <c r="F32" s="14"/>
      <c r="G32" s="12"/>
      <c r="H32" s="12"/>
      <c r="I32" s="29"/>
      <c r="J32" s="29"/>
    </row>
    <row r="33" spans="1:10" x14ac:dyDescent="0.15">
      <c r="A33" s="12">
        <f>ROW(A8)-ROW(A$7)</f>
        <v>26</v>
      </c>
      <c r="B33" s="18" t="s">
        <v>705</v>
      </c>
      <c r="C33" s="18" t="s">
        <v>706</v>
      </c>
      <c r="D33" s="18" t="s">
        <v>72</v>
      </c>
      <c r="E33" s="19">
        <v>19</v>
      </c>
      <c r="F33" s="14"/>
      <c r="G33" s="12"/>
      <c r="H33" s="12"/>
      <c r="I33" s="29"/>
      <c r="J33" s="29"/>
    </row>
    <row r="34" spans="1:10" x14ac:dyDescent="0.15">
      <c r="A34" s="12">
        <f>ROW(A8)-ROW(A$7)</f>
        <v>27</v>
      </c>
      <c r="B34" s="18" t="s">
        <v>466</v>
      </c>
      <c r="C34" s="18" t="s">
        <v>467</v>
      </c>
      <c r="D34" s="18" t="s">
        <v>166</v>
      </c>
      <c r="E34" s="19">
        <v>128</v>
      </c>
      <c r="F34" s="14"/>
      <c r="G34" s="12"/>
      <c r="H34" s="12"/>
      <c r="I34" s="29"/>
      <c r="J34" s="29"/>
    </row>
    <row r="35" spans="1:10" x14ac:dyDescent="0.15">
      <c r="A35" s="12">
        <f>ROW(A8)-ROW(A$7)</f>
        <v>28</v>
      </c>
      <c r="B35" s="18" t="s">
        <v>468</v>
      </c>
      <c r="C35" s="18" t="s">
        <v>469</v>
      </c>
      <c r="D35" s="18" t="s">
        <v>206</v>
      </c>
      <c r="E35" s="19">
        <v>32</v>
      </c>
      <c r="F35" s="14"/>
      <c r="G35" s="12"/>
      <c r="H35" s="12"/>
      <c r="I35" s="29"/>
      <c r="J35" s="29"/>
    </row>
    <row r="36" spans="1:10" x14ac:dyDescent="0.15">
      <c r="A36" s="12">
        <f>ROW(A8)-ROW(A$7)</f>
        <v>29</v>
      </c>
      <c r="B36" s="18" t="s">
        <v>470</v>
      </c>
      <c r="C36" s="18" t="s">
        <v>471</v>
      </c>
      <c r="D36" s="18" t="s">
        <v>206</v>
      </c>
      <c r="E36" s="19">
        <v>32</v>
      </c>
      <c r="F36" s="14"/>
      <c r="G36" s="12"/>
      <c r="H36" s="12"/>
      <c r="I36" s="29"/>
      <c r="J36" s="29"/>
    </row>
    <row r="37" spans="1:10" x14ac:dyDescent="0.15">
      <c r="A37" s="12">
        <f>ROW(A8)-ROW(A$7)</f>
        <v>30</v>
      </c>
      <c r="B37" s="18" t="s">
        <v>472</v>
      </c>
      <c r="C37" s="18" t="s">
        <v>473</v>
      </c>
      <c r="D37" s="18" t="s">
        <v>179</v>
      </c>
      <c r="E37" s="19">
        <v>64</v>
      </c>
      <c r="F37" s="14"/>
      <c r="G37" s="12"/>
      <c r="H37" s="12"/>
      <c r="I37" s="29"/>
      <c r="J37" s="29"/>
    </row>
    <row r="38" spans="1:10" x14ac:dyDescent="0.15">
      <c r="A38" s="12">
        <f>ROW(A8)-ROW(A$7)</f>
        <v>31</v>
      </c>
      <c r="B38" s="18" t="s">
        <v>709</v>
      </c>
      <c r="C38" s="18" t="s">
        <v>710</v>
      </c>
      <c r="D38" s="18" t="s">
        <v>81</v>
      </c>
      <c r="E38" s="19">
        <v>10</v>
      </c>
      <c r="F38" s="14"/>
      <c r="G38" s="12"/>
      <c r="H38" s="12"/>
      <c r="I38" s="29" t="s">
        <v>188</v>
      </c>
      <c r="J38" s="29"/>
    </row>
    <row r="39" spans="1:10" x14ac:dyDescent="0.15">
      <c r="A39" s="12">
        <f>ROW(A8)-ROW(A$7)</f>
        <v>32</v>
      </c>
      <c r="B39" s="18" t="s">
        <v>711</v>
      </c>
      <c r="C39" s="18" t="s">
        <v>1093</v>
      </c>
      <c r="D39" s="18" t="s">
        <v>559</v>
      </c>
      <c r="E39" s="19">
        <v>12</v>
      </c>
      <c r="F39" s="14"/>
      <c r="G39" s="12"/>
      <c r="H39" s="12"/>
      <c r="I39" s="29" t="s">
        <v>188</v>
      </c>
      <c r="J39" s="29"/>
    </row>
    <row r="40" spans="1:10" x14ac:dyDescent="0.15">
      <c r="A40" s="12">
        <f>ROW(A8)-ROW(A$7)</f>
        <v>33</v>
      </c>
      <c r="B40" s="18" t="s">
        <v>1024</v>
      </c>
      <c r="C40" s="18" t="s">
        <v>1025</v>
      </c>
      <c r="D40" s="18" t="s">
        <v>72</v>
      </c>
      <c r="E40" s="19">
        <v>19</v>
      </c>
      <c r="F40" s="14"/>
      <c r="G40" s="12"/>
      <c r="H40" s="12"/>
      <c r="I40" s="29"/>
      <c r="J40" s="29"/>
    </row>
    <row r="41" spans="1:10" x14ac:dyDescent="0.15">
      <c r="A41" s="12">
        <f>ROW(A8)-ROW(A$7)</f>
        <v>34</v>
      </c>
      <c r="B41" s="18" t="s">
        <v>1026</v>
      </c>
      <c r="C41" s="18" t="s">
        <v>1027</v>
      </c>
      <c r="D41" s="18" t="s">
        <v>72</v>
      </c>
      <c r="E41" s="19">
        <v>19</v>
      </c>
      <c r="F41" s="14"/>
      <c r="G41" s="12"/>
      <c r="H41" s="12"/>
      <c r="I41" s="29"/>
      <c r="J41" s="29"/>
    </row>
    <row r="42" spans="1:10" x14ac:dyDescent="0.15">
      <c r="A42" s="12">
        <f>ROW(A8)-ROW(A$7)</f>
        <v>35</v>
      </c>
      <c r="B42" s="18" t="s">
        <v>819</v>
      </c>
      <c r="C42" s="18" t="s">
        <v>883</v>
      </c>
      <c r="D42" s="18" t="s">
        <v>669</v>
      </c>
      <c r="E42" s="19">
        <v>2</v>
      </c>
      <c r="F42" s="14"/>
      <c r="G42" s="12"/>
      <c r="H42" s="12"/>
      <c r="I42" s="29"/>
      <c r="J42" s="29"/>
    </row>
    <row r="43" spans="1:10" x14ac:dyDescent="0.15">
      <c r="A43" s="12">
        <f>ROW(A8)-ROW(A$7)</f>
        <v>36</v>
      </c>
      <c r="B43" s="18" t="s">
        <v>224</v>
      </c>
      <c r="C43" s="18" t="s">
        <v>754</v>
      </c>
      <c r="D43" s="18" t="s">
        <v>138</v>
      </c>
      <c r="E43" s="19">
        <v>3</v>
      </c>
      <c r="F43" s="14"/>
      <c r="G43" s="12"/>
      <c r="H43" s="12"/>
      <c r="I43" s="29" t="s">
        <v>188</v>
      </c>
      <c r="J43" s="29"/>
    </row>
    <row r="44" spans="1:10" x14ac:dyDescent="0.15">
      <c r="A44" s="12">
        <f>ROW(A8)-ROW(A$7)</f>
        <v>37</v>
      </c>
      <c r="B44" s="18" t="s">
        <v>475</v>
      </c>
      <c r="C44" s="18" t="s">
        <v>476</v>
      </c>
      <c r="D44" s="18" t="s">
        <v>72</v>
      </c>
      <c r="E44" s="19">
        <v>19</v>
      </c>
      <c r="F44" s="14"/>
      <c r="G44" s="12"/>
      <c r="H44" s="12"/>
      <c r="I44" s="29"/>
      <c r="J44" s="29"/>
    </row>
    <row r="45" spans="1:10" x14ac:dyDescent="0.15">
      <c r="A45" s="12">
        <f>ROW(A8)-ROW(A$7)</f>
        <v>38</v>
      </c>
      <c r="B45" s="18" t="s">
        <v>477</v>
      </c>
      <c r="C45" s="18" t="s">
        <v>478</v>
      </c>
      <c r="D45" s="18" t="s">
        <v>98</v>
      </c>
      <c r="E45" s="19">
        <v>36</v>
      </c>
      <c r="F45" s="14"/>
      <c r="G45" s="12"/>
      <c r="H45" s="12"/>
      <c r="I45" s="29"/>
      <c r="J45" s="29"/>
    </row>
    <row r="46" spans="1:10" x14ac:dyDescent="0.15">
      <c r="A46" s="12">
        <f>ROW(A8)-ROW(A$7)</f>
        <v>39</v>
      </c>
      <c r="B46" s="18" t="s">
        <v>462</v>
      </c>
      <c r="C46" s="18" t="s">
        <v>1094</v>
      </c>
      <c r="D46" s="18" t="s">
        <v>72</v>
      </c>
      <c r="E46" s="19">
        <v>19</v>
      </c>
      <c r="F46" s="14"/>
      <c r="G46" s="12"/>
      <c r="H46" s="12"/>
      <c r="I46" s="29"/>
      <c r="J46" s="29"/>
    </row>
    <row r="47" spans="1:10" x14ac:dyDescent="0.15">
      <c r="A47" s="12">
        <f>ROW(A8)-ROW(A$7)</f>
        <v>40</v>
      </c>
      <c r="B47" s="18" t="s">
        <v>139</v>
      </c>
      <c r="C47" s="18" t="s">
        <v>321</v>
      </c>
      <c r="D47" s="18" t="s">
        <v>72</v>
      </c>
      <c r="E47" s="19">
        <v>19</v>
      </c>
      <c r="F47" s="14"/>
      <c r="G47" s="12"/>
      <c r="H47" s="12"/>
      <c r="I47" s="29"/>
      <c r="J47" s="29"/>
    </row>
    <row r="48" spans="1:10" x14ac:dyDescent="0.15">
      <c r="A48" s="12">
        <f>ROW(A8)-ROW(A$7)</f>
        <v>41</v>
      </c>
      <c r="B48" s="18" t="s">
        <v>1095</v>
      </c>
      <c r="C48" s="18" t="s">
        <v>1096</v>
      </c>
      <c r="D48" s="18" t="s">
        <v>81</v>
      </c>
      <c r="E48" s="19">
        <v>10</v>
      </c>
      <c r="F48" s="14"/>
      <c r="G48" s="12"/>
      <c r="H48" s="12"/>
      <c r="I48" s="29"/>
      <c r="J48" s="29"/>
    </row>
    <row r="49" spans="1:10" x14ac:dyDescent="0.15">
      <c r="A49" s="12">
        <f>ROW(A8)-ROW(A$7)</f>
        <v>42</v>
      </c>
      <c r="B49" s="18" t="s">
        <v>1097</v>
      </c>
      <c r="C49" s="18" t="s">
        <v>1098</v>
      </c>
      <c r="D49" s="18" t="s">
        <v>81</v>
      </c>
      <c r="E49" s="19">
        <v>10</v>
      </c>
      <c r="F49" s="14"/>
      <c r="G49" s="12"/>
      <c r="H49" s="12"/>
      <c r="I49" s="29"/>
      <c r="J49" s="29"/>
    </row>
    <row r="50" spans="1:10" x14ac:dyDescent="0.15">
      <c r="A50" s="12">
        <f>ROW(A8)-ROW(A$7)</f>
        <v>43</v>
      </c>
      <c r="B50" s="18" t="s">
        <v>1099</v>
      </c>
      <c r="C50" s="18" t="s">
        <v>1100</v>
      </c>
      <c r="D50" s="18" t="s">
        <v>81</v>
      </c>
      <c r="E50" s="19">
        <v>10</v>
      </c>
      <c r="F50" s="14"/>
      <c r="G50" s="12"/>
      <c r="H50" s="12"/>
      <c r="I50" s="29"/>
      <c r="J50" s="29"/>
    </row>
    <row r="51" spans="1:10" x14ac:dyDescent="0.15">
      <c r="A51" s="12">
        <f>ROW(A8)-ROW(A$7)</f>
        <v>44</v>
      </c>
      <c r="B51" s="18" t="s">
        <v>1101</v>
      </c>
      <c r="C51" s="18" t="s">
        <v>1102</v>
      </c>
      <c r="D51" s="18" t="s">
        <v>559</v>
      </c>
      <c r="E51" s="19">
        <v>12</v>
      </c>
      <c r="F51" s="14"/>
      <c r="G51" s="12"/>
      <c r="H51" s="12"/>
      <c r="I51" s="29" t="s">
        <v>188</v>
      </c>
      <c r="J51" s="29"/>
    </row>
    <row r="52" spans="1:10" x14ac:dyDescent="0.15">
      <c r="A52" s="12">
        <f>ROW(A8)-ROW(A$7)</f>
        <v>45</v>
      </c>
      <c r="B52" s="18"/>
      <c r="C52" s="18"/>
      <c r="D52" s="18"/>
      <c r="E52" s="19"/>
      <c r="F52" s="14"/>
      <c r="G52" s="12"/>
      <c r="H52" s="12"/>
      <c r="I52" s="29"/>
      <c r="J52" s="29"/>
    </row>
    <row r="53" spans="1:10" x14ac:dyDescent="0.15">
      <c r="A53" s="22" t="s">
        <v>6</v>
      </c>
      <c r="B53" s="22" t="s">
        <v>6</v>
      </c>
      <c r="C53" s="22" t="s">
        <v>6</v>
      </c>
      <c r="D53" s="13" t="s">
        <v>6</v>
      </c>
      <c r="E53" s="13" t="s">
        <v>6</v>
      </c>
      <c r="F53" s="13" t="s">
        <v>6</v>
      </c>
      <c r="G53" s="13" t="s">
        <v>6</v>
      </c>
      <c r="H53" s="13" t="s">
        <v>6</v>
      </c>
      <c r="I53" s="13" t="s">
        <v>6</v>
      </c>
      <c r="J53" s="13" t="s">
        <v>6</v>
      </c>
    </row>
    <row r="56" spans="1:10" x14ac:dyDescent="0.15">
      <c r="A56" s="11" t="s">
        <v>0</v>
      </c>
      <c r="B56" s="11" t="s">
        <v>86</v>
      </c>
      <c r="C56" s="11" t="s">
        <v>87</v>
      </c>
      <c r="D56" s="11" t="s">
        <v>88</v>
      </c>
      <c r="E56" s="11" t="s">
        <v>89</v>
      </c>
      <c r="F56" s="11" t="s">
        <v>90</v>
      </c>
      <c r="G56" s="11" t="s">
        <v>91</v>
      </c>
      <c r="H56" s="11" t="s">
        <v>92</v>
      </c>
      <c r="I56" s="11" t="s">
        <v>93</v>
      </c>
      <c r="J56" s="11" t="s">
        <v>69</v>
      </c>
    </row>
    <row r="57" spans="1:10" x14ac:dyDescent="0.15">
      <c r="A57" s="12">
        <f>ROW(A17)-ROW(A$16)</f>
        <v>1</v>
      </c>
      <c r="B57" s="18"/>
      <c r="C57" s="18"/>
      <c r="D57" s="18"/>
      <c r="E57" s="18"/>
      <c r="F57" s="18"/>
      <c r="G57" s="18"/>
      <c r="H57" s="18"/>
      <c r="I57" s="20"/>
      <c r="J57" s="18"/>
    </row>
    <row r="58" spans="1:10" x14ac:dyDescent="0.15">
      <c r="A58" s="22" t="s">
        <v>6</v>
      </c>
      <c r="B58" s="22" t="s">
        <v>6</v>
      </c>
      <c r="C58" s="22" t="s">
        <v>6</v>
      </c>
      <c r="D58" s="13" t="s">
        <v>6</v>
      </c>
      <c r="E58" s="13" t="s">
        <v>6</v>
      </c>
      <c r="F58" s="13" t="s">
        <v>6</v>
      </c>
      <c r="G58" s="13" t="s">
        <v>6</v>
      </c>
      <c r="H58" s="13" t="s">
        <v>6</v>
      </c>
      <c r="I58" s="13" t="s">
        <v>6</v>
      </c>
      <c r="J5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7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1104</v>
      </c>
      <c r="C1" s="24" t="str">
        <f>INDEX(目录!D:D,MATCH(B1,目录!E:E,0))</f>
        <v>项目动态表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1103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808</v>
      </c>
      <c r="C9" s="18" t="s">
        <v>1105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232</v>
      </c>
      <c r="C10" s="18" t="s">
        <v>1106</v>
      </c>
      <c r="D10" s="18" t="s">
        <v>250</v>
      </c>
      <c r="E10" s="19">
        <v>256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234</v>
      </c>
      <c r="C11" s="18" t="s">
        <v>1107</v>
      </c>
      <c r="D11" s="18" t="s">
        <v>78</v>
      </c>
      <c r="E11" s="19">
        <v>65535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280</v>
      </c>
      <c r="C12" s="18" t="s">
        <v>1108</v>
      </c>
      <c r="D12" s="18" t="s">
        <v>250</v>
      </c>
      <c r="E12" s="19">
        <v>256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321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189</v>
      </c>
      <c r="C14" s="18" t="s">
        <v>190</v>
      </c>
      <c r="D14" s="18" t="s">
        <v>81</v>
      </c>
      <c r="E14" s="19">
        <v>10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275</v>
      </c>
      <c r="C15" s="18" t="s">
        <v>1109</v>
      </c>
      <c r="D15" s="18" t="s">
        <v>218</v>
      </c>
      <c r="E15" s="19">
        <v>512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1111</v>
      </c>
      <c r="C1" s="24" t="str">
        <f>INDEX(目录!D:D,MATCH(B1,目录!E:E,0))</f>
        <v>培训题库表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1110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234</v>
      </c>
      <c r="C9" s="18" t="s">
        <v>1112</v>
      </c>
      <c r="D9" s="18" t="s">
        <v>166</v>
      </c>
      <c r="E9" s="19">
        <v>128</v>
      </c>
      <c r="F9" s="14"/>
      <c r="G9" s="12"/>
      <c r="H9" s="12" t="s">
        <v>15</v>
      </c>
      <c r="I9" s="29"/>
      <c r="J9" s="29"/>
    </row>
    <row r="10" spans="1:10" x14ac:dyDescent="0.15">
      <c r="A10" s="12">
        <f>ROW(A8)-ROW(A$7)</f>
        <v>3</v>
      </c>
      <c r="B10" s="18" t="s">
        <v>328</v>
      </c>
      <c r="C10" s="18" t="s">
        <v>1113</v>
      </c>
      <c r="D10" s="18" t="s">
        <v>163</v>
      </c>
      <c r="E10" s="19">
        <v>16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 t="s">
        <v>1114</v>
      </c>
      <c r="C11" s="18" t="s">
        <v>1115</v>
      </c>
      <c r="D11" s="18" t="s">
        <v>163</v>
      </c>
      <c r="E11" s="19">
        <v>16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1116</v>
      </c>
      <c r="C12" s="18" t="s">
        <v>1117</v>
      </c>
      <c r="D12" s="18" t="s">
        <v>559</v>
      </c>
      <c r="E12" s="19">
        <v>5</v>
      </c>
      <c r="F12" s="14">
        <v>2</v>
      </c>
      <c r="G12" s="12"/>
      <c r="H12" s="12"/>
      <c r="I12" s="29"/>
      <c r="J12" s="29"/>
    </row>
    <row r="13" spans="1:10" x14ac:dyDescent="0.15">
      <c r="A13" s="12">
        <f>ROW(A8)-ROW(A$7)</f>
        <v>6</v>
      </c>
      <c r="B13" s="18"/>
      <c r="C13" s="18"/>
      <c r="D13" s="18"/>
      <c r="E13" s="19"/>
      <c r="F13" s="14"/>
      <c r="G13" s="12"/>
      <c r="H13" s="12"/>
      <c r="I13" s="29"/>
      <c r="J13" s="29"/>
    </row>
    <row r="14" spans="1:10" x14ac:dyDescent="0.15">
      <c r="A14" s="22" t="s">
        <v>6</v>
      </c>
      <c r="B14" s="22" t="s">
        <v>6</v>
      </c>
      <c r="C14" s="22" t="s">
        <v>6</v>
      </c>
      <c r="D14" s="13" t="s">
        <v>6</v>
      </c>
      <c r="E14" s="13" t="s">
        <v>6</v>
      </c>
      <c r="F14" s="13" t="s">
        <v>6</v>
      </c>
      <c r="G14" s="13" t="s">
        <v>6</v>
      </c>
      <c r="H14" s="13" t="s">
        <v>6</v>
      </c>
      <c r="I14" s="13" t="s">
        <v>6</v>
      </c>
      <c r="J14" s="13" t="s">
        <v>6</v>
      </c>
    </row>
    <row r="17" spans="1:10" x14ac:dyDescent="0.15">
      <c r="A17" s="11" t="s">
        <v>0</v>
      </c>
      <c r="B17" s="11" t="s">
        <v>86</v>
      </c>
      <c r="C17" s="11" t="s">
        <v>87</v>
      </c>
      <c r="D17" s="11" t="s">
        <v>88</v>
      </c>
      <c r="E17" s="11" t="s">
        <v>89</v>
      </c>
      <c r="F17" s="11" t="s">
        <v>90</v>
      </c>
      <c r="G17" s="11" t="s">
        <v>91</v>
      </c>
      <c r="H17" s="11" t="s">
        <v>92</v>
      </c>
      <c r="I17" s="11" t="s">
        <v>93</v>
      </c>
      <c r="J17" s="11" t="s">
        <v>69</v>
      </c>
    </row>
    <row r="18" spans="1:10" x14ac:dyDescent="0.15">
      <c r="A18" s="12">
        <f>ROW(A17)-ROW(A$16)</f>
        <v>1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22" t="s">
        <v>6</v>
      </c>
      <c r="B19" s="22" t="s">
        <v>6</v>
      </c>
      <c r="C19" s="22" t="s">
        <v>6</v>
      </c>
      <c r="D19" s="13" t="s">
        <v>6</v>
      </c>
      <c r="E19" s="13" t="s">
        <v>6</v>
      </c>
      <c r="F19" s="13" t="s">
        <v>6</v>
      </c>
      <c r="G19" s="13" t="s">
        <v>6</v>
      </c>
      <c r="H19" s="13" t="s">
        <v>6</v>
      </c>
      <c r="I19" s="13" t="s">
        <v>6</v>
      </c>
      <c r="J19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6.875" bestFit="1" customWidth="1"/>
    <col min="3" max="3" width="14.875" bestFit="1" customWidth="1"/>
    <col min="4" max="4" width="11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1119</v>
      </c>
      <c r="C1" s="24" t="str">
        <f>INDEX(目录!D:D,MATCH(B1,目录!E:E,0))</f>
        <v>志愿者答题记录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1118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1120</v>
      </c>
      <c r="C9" s="18" t="s">
        <v>1121</v>
      </c>
      <c r="D9" s="18" t="s">
        <v>72</v>
      </c>
      <c r="E9" s="19">
        <v>19</v>
      </c>
      <c r="F9" s="14"/>
      <c r="G9" s="12"/>
      <c r="H9" s="12" t="s">
        <v>15</v>
      </c>
      <c r="I9" s="29"/>
      <c r="J9" s="29"/>
    </row>
    <row r="10" spans="1:10" x14ac:dyDescent="0.15">
      <c r="A10" s="12">
        <f>ROW(A8)-ROW(A$7)</f>
        <v>3</v>
      </c>
      <c r="B10" s="18" t="s">
        <v>1122</v>
      </c>
      <c r="C10" s="18" t="s">
        <v>1123</v>
      </c>
      <c r="D10" s="18" t="s">
        <v>72</v>
      </c>
      <c r="E10" s="19">
        <v>19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 t="s">
        <v>127</v>
      </c>
      <c r="C11" s="18" t="s">
        <v>1124</v>
      </c>
      <c r="D11" s="18" t="s">
        <v>72</v>
      </c>
      <c r="E11" s="19">
        <v>19</v>
      </c>
      <c r="F11" s="14"/>
      <c r="G11" s="12"/>
      <c r="H11" s="12" t="s">
        <v>15</v>
      </c>
      <c r="I11" s="29"/>
      <c r="J11" s="29"/>
    </row>
    <row r="12" spans="1:10" x14ac:dyDescent="0.15">
      <c r="A12" s="12">
        <f>ROW(A8)-ROW(A$7)</f>
        <v>5</v>
      </c>
      <c r="B12" s="18" t="s">
        <v>1125</v>
      </c>
      <c r="C12" s="18" t="s">
        <v>1126</v>
      </c>
      <c r="D12" s="18" t="s">
        <v>163</v>
      </c>
      <c r="E12" s="19">
        <v>16</v>
      </c>
      <c r="F12" s="14"/>
      <c r="G12" s="12"/>
      <c r="H12" s="12" t="s">
        <v>15</v>
      </c>
      <c r="I12" s="29"/>
      <c r="J12" s="29"/>
    </row>
    <row r="13" spans="1:10" x14ac:dyDescent="0.15">
      <c r="A13" s="12">
        <f>ROW(A8)-ROW(A$7)</f>
        <v>6</v>
      </c>
      <c r="B13" s="18" t="s">
        <v>1127</v>
      </c>
      <c r="C13" s="18" t="s">
        <v>1128</v>
      </c>
      <c r="D13" s="18" t="s">
        <v>138</v>
      </c>
      <c r="E13" s="19">
        <v>3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1116</v>
      </c>
      <c r="C14" s="18" t="s">
        <v>1129</v>
      </c>
      <c r="D14" s="18" t="s">
        <v>559</v>
      </c>
      <c r="E14" s="19">
        <v>5</v>
      </c>
      <c r="F14" s="14">
        <v>2</v>
      </c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1130</v>
      </c>
      <c r="C15" s="18" t="s">
        <v>1131</v>
      </c>
      <c r="D15" s="18" t="s">
        <v>72</v>
      </c>
      <c r="E15" s="19">
        <v>19</v>
      </c>
      <c r="F15" s="14"/>
      <c r="G15" s="12"/>
      <c r="H15" s="12" t="s">
        <v>15</v>
      </c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18.875" bestFit="1" customWidth="1"/>
    <col min="3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1133</v>
      </c>
      <c r="C1" s="24" t="str">
        <f>INDEX(目录!D:D,MATCH(B1,目录!E:E,0))</f>
        <v>题目选项表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1132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1122</v>
      </c>
      <c r="C9" s="18" t="s">
        <v>1134</v>
      </c>
      <c r="D9" s="18" t="s">
        <v>72</v>
      </c>
      <c r="E9" s="19">
        <v>19</v>
      </c>
      <c r="F9" s="14"/>
      <c r="G9" s="12"/>
      <c r="H9" s="12" t="s">
        <v>15</v>
      </c>
      <c r="I9" s="29"/>
      <c r="J9" s="29"/>
    </row>
    <row r="10" spans="1:10" x14ac:dyDescent="0.15">
      <c r="A10" s="12">
        <f>ROW(A8)-ROW(A$7)</f>
        <v>3</v>
      </c>
      <c r="B10" s="18" t="s">
        <v>1135</v>
      </c>
      <c r="C10" s="18" t="s">
        <v>1136</v>
      </c>
      <c r="D10" s="18" t="s">
        <v>851</v>
      </c>
      <c r="E10" s="19">
        <v>1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 t="s">
        <v>1137</v>
      </c>
      <c r="C11" s="18" t="s">
        <v>1138</v>
      </c>
      <c r="D11" s="18" t="s">
        <v>166</v>
      </c>
      <c r="E11" s="19">
        <v>128</v>
      </c>
      <c r="F11" s="14"/>
      <c r="G11" s="12"/>
      <c r="H11" s="12" t="s">
        <v>15</v>
      </c>
      <c r="I11" s="29"/>
      <c r="J11" s="29"/>
    </row>
    <row r="12" spans="1:10" x14ac:dyDescent="0.15">
      <c r="A12" s="12">
        <f>ROW(A8)-ROW(A$7)</f>
        <v>5</v>
      </c>
      <c r="B12" s="18" t="s">
        <v>1127</v>
      </c>
      <c r="C12" s="18" t="s">
        <v>1139</v>
      </c>
      <c r="D12" s="18" t="s">
        <v>138</v>
      </c>
      <c r="E12" s="19">
        <v>3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/>
      <c r="C13" s="18"/>
      <c r="D13" s="18"/>
      <c r="E13" s="19"/>
      <c r="F13" s="14"/>
      <c r="G13" s="12"/>
      <c r="H13" s="12"/>
      <c r="I13" s="29"/>
      <c r="J13" s="29"/>
    </row>
    <row r="14" spans="1:10" x14ac:dyDescent="0.15">
      <c r="A14" s="22" t="s">
        <v>6</v>
      </c>
      <c r="B14" s="22" t="s">
        <v>6</v>
      </c>
      <c r="C14" s="22" t="s">
        <v>6</v>
      </c>
      <c r="D14" s="13" t="s">
        <v>6</v>
      </c>
      <c r="E14" s="13" t="s">
        <v>6</v>
      </c>
      <c r="F14" s="13" t="s">
        <v>6</v>
      </c>
      <c r="G14" s="13" t="s">
        <v>6</v>
      </c>
      <c r="H14" s="13" t="s">
        <v>6</v>
      </c>
      <c r="I14" s="13" t="s">
        <v>6</v>
      </c>
      <c r="J14" s="13" t="s">
        <v>6</v>
      </c>
    </row>
    <row r="17" spans="1:10" x14ac:dyDescent="0.15">
      <c r="A17" s="11" t="s">
        <v>0</v>
      </c>
      <c r="B17" s="11" t="s">
        <v>86</v>
      </c>
      <c r="C17" s="11" t="s">
        <v>87</v>
      </c>
      <c r="D17" s="11" t="s">
        <v>88</v>
      </c>
      <c r="E17" s="11" t="s">
        <v>89</v>
      </c>
      <c r="F17" s="11" t="s">
        <v>90</v>
      </c>
      <c r="G17" s="11" t="s">
        <v>91</v>
      </c>
      <c r="H17" s="11" t="s">
        <v>92</v>
      </c>
      <c r="I17" s="11" t="s">
        <v>93</v>
      </c>
      <c r="J17" s="11" t="s">
        <v>69</v>
      </c>
    </row>
    <row r="18" spans="1:10" x14ac:dyDescent="0.15">
      <c r="A18" s="12">
        <f>ROW(A17)-ROW(A$16)</f>
        <v>1</v>
      </c>
      <c r="B18" s="18" t="s">
        <v>1140</v>
      </c>
      <c r="C18" s="18" t="s">
        <v>1122</v>
      </c>
      <c r="D18" s="18"/>
      <c r="E18" s="18"/>
      <c r="F18" s="18"/>
      <c r="G18" s="18"/>
      <c r="H18" s="18"/>
      <c r="I18" s="20" t="s">
        <v>95</v>
      </c>
      <c r="J18" s="18" t="s">
        <v>96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2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55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1142</v>
      </c>
      <c r="C1" s="24" t="str">
        <f>INDEX(目录!D:D,MATCH(B1,目录!E:E,0))</f>
        <v>排行表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1141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1143</v>
      </c>
      <c r="C9" s="18" t="s">
        <v>1144</v>
      </c>
      <c r="D9" s="18" t="s">
        <v>81</v>
      </c>
      <c r="E9" s="19">
        <v>10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998</v>
      </c>
      <c r="C10" s="18" t="s">
        <v>1045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533</v>
      </c>
      <c r="C11" s="18" t="s">
        <v>1145</v>
      </c>
      <c r="D11" s="18" t="s">
        <v>166</v>
      </c>
      <c r="E11" s="19">
        <v>128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1009</v>
      </c>
      <c r="C12" s="18" t="s">
        <v>1146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453</v>
      </c>
      <c r="C13" s="18" t="s">
        <v>1147</v>
      </c>
      <c r="D13" s="18" t="s">
        <v>179</v>
      </c>
      <c r="E13" s="19">
        <v>64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537</v>
      </c>
      <c r="C14" s="18" t="s">
        <v>1148</v>
      </c>
      <c r="D14" s="18" t="s">
        <v>75</v>
      </c>
      <c r="E14" s="19">
        <v>255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711</v>
      </c>
      <c r="C15" s="18" t="s">
        <v>1023</v>
      </c>
      <c r="D15" s="18" t="s">
        <v>81</v>
      </c>
      <c r="E15" s="19">
        <v>10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1031</v>
      </c>
      <c r="C16" s="18" t="s">
        <v>1149</v>
      </c>
      <c r="D16" s="18" t="s">
        <v>81</v>
      </c>
      <c r="E16" s="19">
        <v>10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1017</v>
      </c>
      <c r="C17" s="18" t="s">
        <v>1018</v>
      </c>
      <c r="D17" s="18" t="s">
        <v>81</v>
      </c>
      <c r="E17" s="19">
        <v>10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127</v>
      </c>
      <c r="C18" s="18" t="s">
        <v>745</v>
      </c>
      <c r="D18" s="18" t="s">
        <v>72</v>
      </c>
      <c r="E18" s="19">
        <v>19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1028</v>
      </c>
      <c r="C19" s="18" t="s">
        <v>1150</v>
      </c>
      <c r="D19" s="18" t="s">
        <v>138</v>
      </c>
      <c r="E19" s="19">
        <v>3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1035</v>
      </c>
      <c r="C20" s="18" t="s">
        <v>1151</v>
      </c>
      <c r="D20" s="18" t="s">
        <v>138</v>
      </c>
      <c r="E20" s="19">
        <v>3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1116</v>
      </c>
      <c r="C21" s="18" t="s">
        <v>1152</v>
      </c>
      <c r="D21" s="18" t="s">
        <v>81</v>
      </c>
      <c r="E21" s="19">
        <v>10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1153</v>
      </c>
      <c r="C22" s="18" t="s">
        <v>1154</v>
      </c>
      <c r="D22" s="18" t="s">
        <v>1155</v>
      </c>
      <c r="E22" s="19">
        <v>8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1156</v>
      </c>
      <c r="C23" s="18" t="s">
        <v>1156</v>
      </c>
      <c r="D23" s="18" t="s">
        <v>179</v>
      </c>
      <c r="E23" s="19">
        <v>64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1157</v>
      </c>
      <c r="C24" s="18" t="s">
        <v>1158</v>
      </c>
      <c r="D24" s="18" t="s">
        <v>559</v>
      </c>
      <c r="E24" s="19">
        <v>8</v>
      </c>
      <c r="F24" s="14">
        <v>2</v>
      </c>
      <c r="G24" s="12"/>
      <c r="H24" s="12"/>
      <c r="I24" s="29" t="s">
        <v>949</v>
      </c>
      <c r="J24" s="29"/>
    </row>
    <row r="25" spans="1:10" x14ac:dyDescent="0.15">
      <c r="A25" s="12">
        <f>ROW(A8)-ROW(A$7)</f>
        <v>18</v>
      </c>
      <c r="B25" s="18" t="s">
        <v>1159</v>
      </c>
      <c r="C25" s="18" t="s">
        <v>1160</v>
      </c>
      <c r="D25" s="18" t="s">
        <v>72</v>
      </c>
      <c r="E25" s="19">
        <v>19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/>
      <c r="C26" s="18"/>
      <c r="D26" s="18"/>
      <c r="E26" s="19"/>
      <c r="F26" s="14"/>
      <c r="G26" s="12"/>
      <c r="H26" s="12"/>
      <c r="I26" s="29"/>
      <c r="J26" s="29"/>
    </row>
    <row r="27" spans="1:10" x14ac:dyDescent="0.15">
      <c r="A27" s="22" t="s">
        <v>6</v>
      </c>
      <c r="B27" s="22" t="s">
        <v>6</v>
      </c>
      <c r="C27" s="22" t="s">
        <v>6</v>
      </c>
      <c r="D27" s="13" t="s">
        <v>6</v>
      </c>
      <c r="E27" s="13" t="s">
        <v>6</v>
      </c>
      <c r="F27" s="13" t="s">
        <v>6</v>
      </c>
      <c r="G27" s="13" t="s">
        <v>6</v>
      </c>
      <c r="H27" s="13" t="s">
        <v>6</v>
      </c>
      <c r="I27" s="13" t="s">
        <v>6</v>
      </c>
      <c r="J27" s="13" t="s">
        <v>6</v>
      </c>
    </row>
    <row r="30" spans="1:10" x14ac:dyDescent="0.15">
      <c r="A30" s="11" t="s">
        <v>0</v>
      </c>
      <c r="B30" s="11" t="s">
        <v>86</v>
      </c>
      <c r="C30" s="11" t="s">
        <v>87</v>
      </c>
      <c r="D30" s="11" t="s">
        <v>88</v>
      </c>
      <c r="E30" s="11" t="s">
        <v>89</v>
      </c>
      <c r="F30" s="11" t="s">
        <v>90</v>
      </c>
      <c r="G30" s="11" t="s">
        <v>91</v>
      </c>
      <c r="H30" s="11" t="s">
        <v>92</v>
      </c>
      <c r="I30" s="11" t="s">
        <v>93</v>
      </c>
      <c r="J30" s="11" t="s">
        <v>69</v>
      </c>
    </row>
    <row r="31" spans="1:10" x14ac:dyDescent="0.15">
      <c r="A31" s="12">
        <f>ROW(A17)-ROW(A$16)</f>
        <v>1</v>
      </c>
      <c r="B31" s="18"/>
      <c r="C31" s="18"/>
      <c r="D31" s="18"/>
      <c r="E31" s="18"/>
      <c r="F31" s="18"/>
      <c r="G31" s="18"/>
      <c r="H31" s="18"/>
      <c r="I31" s="20"/>
      <c r="J31" s="18"/>
    </row>
    <row r="32" spans="1:10" x14ac:dyDescent="0.15">
      <c r="A32" s="22" t="s">
        <v>6</v>
      </c>
      <c r="B32" s="22" t="s">
        <v>6</v>
      </c>
      <c r="C32" s="22" t="s">
        <v>6</v>
      </c>
      <c r="D32" s="13" t="s">
        <v>6</v>
      </c>
      <c r="E32" s="13" t="s">
        <v>6</v>
      </c>
      <c r="F32" s="13" t="s">
        <v>6</v>
      </c>
      <c r="G32" s="13" t="s">
        <v>6</v>
      </c>
      <c r="H32" s="13" t="s">
        <v>6</v>
      </c>
      <c r="I32" s="13" t="s">
        <v>6</v>
      </c>
      <c r="J3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3" width="14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1162</v>
      </c>
      <c r="C1" s="24" t="str">
        <f>INDEX(目录!D:D,MATCH(B1,目录!E:E,0))</f>
        <v>志愿者升级星级日志表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1161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1163</v>
      </c>
      <c r="C9" s="18" t="s">
        <v>1164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1035</v>
      </c>
      <c r="C10" s="18" t="s">
        <v>1165</v>
      </c>
      <c r="D10" s="18" t="s">
        <v>138</v>
      </c>
      <c r="E10" s="19">
        <v>3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1166</v>
      </c>
      <c r="C11" s="18" t="s">
        <v>1167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139</v>
      </c>
      <c r="C12" s="18" t="s">
        <v>1168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871</v>
      </c>
      <c r="C13" s="18" t="s">
        <v>1169</v>
      </c>
      <c r="D13" s="18" t="s">
        <v>250</v>
      </c>
      <c r="E13" s="19">
        <v>256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8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18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1171</v>
      </c>
      <c r="C1" s="24" t="str">
        <f>INDEX(目录!D:D,MATCH(B1,目录!E:E,0))</f>
        <v>志愿服务时间信息表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1170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892</v>
      </c>
      <c r="C9" s="18" t="s">
        <v>893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858</v>
      </c>
      <c r="C10" s="18" t="s">
        <v>702</v>
      </c>
      <c r="D10" s="18" t="s">
        <v>559</v>
      </c>
      <c r="E10" s="19">
        <v>12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462</v>
      </c>
      <c r="C11" s="18" t="s">
        <v>1172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808</v>
      </c>
      <c r="C12" s="18" t="s">
        <v>1173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743</v>
      </c>
      <c r="C13" s="18" t="s">
        <v>1174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127</v>
      </c>
      <c r="C14" s="18" t="s">
        <v>1175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871</v>
      </c>
      <c r="C15" s="18" t="s">
        <v>2</v>
      </c>
      <c r="D15" s="18" t="s">
        <v>400</v>
      </c>
      <c r="E15" s="19">
        <v>1024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852</v>
      </c>
      <c r="C16" s="18" t="s">
        <v>852</v>
      </c>
      <c r="D16" s="18" t="s">
        <v>206</v>
      </c>
      <c r="E16" s="19">
        <v>32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485</v>
      </c>
      <c r="C17" s="18" t="s">
        <v>485</v>
      </c>
      <c r="D17" s="18" t="s">
        <v>163</v>
      </c>
      <c r="E17" s="19">
        <v>16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1176</v>
      </c>
      <c r="C18" s="18" t="s">
        <v>1177</v>
      </c>
      <c r="D18" s="18" t="s">
        <v>138</v>
      </c>
      <c r="E18" s="19">
        <v>3</v>
      </c>
      <c r="F18" s="14"/>
      <c r="G18" s="12"/>
      <c r="H18" s="12"/>
      <c r="I18" s="29" t="s">
        <v>188</v>
      </c>
      <c r="J18" s="29"/>
    </row>
    <row r="19" spans="1:10" x14ac:dyDescent="0.15">
      <c r="A19" s="12">
        <f>ROW(A8)-ROW(A$7)</f>
        <v>12</v>
      </c>
      <c r="B19" s="18" t="s">
        <v>733</v>
      </c>
      <c r="C19" s="18" t="s">
        <v>734</v>
      </c>
      <c r="D19" s="18" t="s">
        <v>735</v>
      </c>
      <c r="E19" s="19">
        <v>19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328</v>
      </c>
      <c r="C20" s="18" t="s">
        <v>1178</v>
      </c>
      <c r="D20" s="18" t="s">
        <v>138</v>
      </c>
      <c r="E20" s="19">
        <v>3</v>
      </c>
      <c r="F20" s="14"/>
      <c r="G20" s="12"/>
      <c r="H20" s="12"/>
      <c r="I20" s="29" t="s">
        <v>188</v>
      </c>
      <c r="J20" s="29"/>
    </row>
    <row r="21" spans="1:10" x14ac:dyDescent="0.15">
      <c r="A21" s="12">
        <f>ROW(A8)-ROW(A$7)</f>
        <v>14</v>
      </c>
      <c r="B21" s="18" t="s">
        <v>1179</v>
      </c>
      <c r="C21" s="18" t="s">
        <v>1180</v>
      </c>
      <c r="D21" s="18" t="s">
        <v>72</v>
      </c>
      <c r="E21" s="19">
        <v>19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/>
      <c r="C22" s="18"/>
      <c r="D22" s="18"/>
      <c r="E22" s="19"/>
      <c r="F22" s="14"/>
      <c r="G22" s="12"/>
      <c r="H22" s="12"/>
      <c r="I22" s="29"/>
      <c r="J22" s="29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  <row r="26" spans="1:10" x14ac:dyDescent="0.15">
      <c r="A26" s="11" t="s">
        <v>0</v>
      </c>
      <c r="B26" s="11" t="s">
        <v>86</v>
      </c>
      <c r="C26" s="11" t="s">
        <v>87</v>
      </c>
      <c r="D26" s="11" t="s">
        <v>88</v>
      </c>
      <c r="E26" s="11" t="s">
        <v>89</v>
      </c>
      <c r="F26" s="11" t="s">
        <v>90</v>
      </c>
      <c r="G26" s="11" t="s">
        <v>91</v>
      </c>
      <c r="H26" s="11" t="s">
        <v>92</v>
      </c>
      <c r="I26" s="11" t="s">
        <v>93</v>
      </c>
      <c r="J26" s="11" t="s">
        <v>69</v>
      </c>
    </row>
    <row r="27" spans="1:10" x14ac:dyDescent="0.15">
      <c r="A27" s="12">
        <f>ROW(A17)-ROW(A$16)</f>
        <v>1</v>
      </c>
      <c r="B27" s="18"/>
      <c r="C27" s="18"/>
      <c r="D27" s="18"/>
      <c r="E27" s="18"/>
      <c r="F27" s="18"/>
      <c r="G27" s="18"/>
      <c r="H27" s="18"/>
      <c r="I27" s="20"/>
      <c r="J27" s="18"/>
    </row>
    <row r="28" spans="1:10" x14ac:dyDescent="0.15">
      <c r="A28" s="22" t="s">
        <v>6</v>
      </c>
      <c r="B28" s="22" t="s">
        <v>6</v>
      </c>
      <c r="C28" s="22" t="s">
        <v>6</v>
      </c>
      <c r="D28" s="13" t="s">
        <v>6</v>
      </c>
      <c r="E28" s="13" t="s">
        <v>6</v>
      </c>
      <c r="F28" s="13" t="s">
        <v>6</v>
      </c>
      <c r="G28" s="13" t="s">
        <v>6</v>
      </c>
      <c r="H28" s="13" t="s">
        <v>6</v>
      </c>
      <c r="I28" s="13" t="s">
        <v>6</v>
      </c>
      <c r="J2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1181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</v>
      </c>
      <c r="C9" s="18" t="s">
        <v>848</v>
      </c>
      <c r="D9" s="18" t="s">
        <v>106</v>
      </c>
      <c r="E9" s="19">
        <v>100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1182</v>
      </c>
      <c r="C10" s="18" t="s">
        <v>1183</v>
      </c>
      <c r="D10" s="18" t="s">
        <v>106</v>
      </c>
      <c r="E10" s="19">
        <v>100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1184</v>
      </c>
      <c r="C11" s="18" t="s">
        <v>531</v>
      </c>
      <c r="D11" s="18" t="s">
        <v>366</v>
      </c>
      <c r="E11" s="19">
        <v>20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234</v>
      </c>
      <c r="C12" s="18" t="s">
        <v>1185</v>
      </c>
      <c r="D12" s="18" t="s">
        <v>78</v>
      </c>
      <c r="E12" s="19">
        <v>65535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321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462</v>
      </c>
      <c r="C14" s="18" t="s">
        <v>1186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7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9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1188</v>
      </c>
      <c r="C1" s="24" t="str">
        <f>INDEX(目录!D:D,MATCH(B1,目录!E:E,0))</f>
        <v>志愿者培训信息表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1187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232</v>
      </c>
      <c r="C9" s="18" t="s">
        <v>773</v>
      </c>
      <c r="D9" s="18" t="s">
        <v>166</v>
      </c>
      <c r="E9" s="19">
        <v>128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537</v>
      </c>
      <c r="C10" s="18" t="s">
        <v>1189</v>
      </c>
      <c r="D10" s="18" t="s">
        <v>166</v>
      </c>
      <c r="E10" s="19">
        <v>128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1190</v>
      </c>
      <c r="C11" s="18" t="s">
        <v>1191</v>
      </c>
      <c r="D11" s="18" t="s">
        <v>669</v>
      </c>
      <c r="E11" s="19">
        <v>2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1192</v>
      </c>
      <c r="C12" s="18" t="s">
        <v>1193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1194</v>
      </c>
      <c r="C13" s="18" t="s">
        <v>1195</v>
      </c>
      <c r="D13" s="18" t="s">
        <v>138</v>
      </c>
      <c r="E13" s="19">
        <v>3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1196</v>
      </c>
      <c r="C14" s="18" t="s">
        <v>1197</v>
      </c>
      <c r="D14" s="18" t="s">
        <v>166</v>
      </c>
      <c r="E14" s="19">
        <v>128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234</v>
      </c>
      <c r="C15" s="18" t="s">
        <v>752</v>
      </c>
      <c r="D15" s="18" t="s">
        <v>78</v>
      </c>
      <c r="E15" s="19">
        <v>65535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328</v>
      </c>
      <c r="C16" s="18" t="s">
        <v>1198</v>
      </c>
      <c r="D16" s="18" t="s">
        <v>669</v>
      </c>
      <c r="E16" s="19">
        <v>2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774</v>
      </c>
      <c r="C17" s="18" t="s">
        <v>190</v>
      </c>
      <c r="D17" s="18" t="s">
        <v>81</v>
      </c>
      <c r="E17" s="19">
        <v>10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127</v>
      </c>
      <c r="C18" s="18" t="s">
        <v>1199</v>
      </c>
      <c r="D18" s="18" t="s">
        <v>72</v>
      </c>
      <c r="E18" s="19">
        <v>19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139</v>
      </c>
      <c r="C19" s="18" t="s">
        <v>321</v>
      </c>
      <c r="D19" s="18" t="s">
        <v>72</v>
      </c>
      <c r="E19" s="19">
        <v>19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220</v>
      </c>
      <c r="C20" s="18" t="s">
        <v>221</v>
      </c>
      <c r="D20" s="18" t="s">
        <v>138</v>
      </c>
      <c r="E20" s="19">
        <v>3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/>
      <c r="C21" s="18"/>
      <c r="D21" s="18"/>
      <c r="E21" s="19"/>
      <c r="F21" s="14"/>
      <c r="G21" s="12"/>
      <c r="H21" s="12"/>
      <c r="I21" s="29"/>
      <c r="J21" s="29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  <row r="25" spans="1:10" x14ac:dyDescent="0.15">
      <c r="A25" s="11" t="s">
        <v>0</v>
      </c>
      <c r="B25" s="11" t="s">
        <v>86</v>
      </c>
      <c r="C25" s="11" t="s">
        <v>87</v>
      </c>
      <c r="D25" s="11" t="s">
        <v>88</v>
      </c>
      <c r="E25" s="11" t="s">
        <v>89</v>
      </c>
      <c r="F25" s="11" t="s">
        <v>90</v>
      </c>
      <c r="G25" s="11" t="s">
        <v>91</v>
      </c>
      <c r="H25" s="11" t="s">
        <v>92</v>
      </c>
      <c r="I25" s="11" t="s">
        <v>93</v>
      </c>
      <c r="J25" s="11" t="s">
        <v>69</v>
      </c>
    </row>
    <row r="26" spans="1:10" x14ac:dyDescent="0.15">
      <c r="A26" s="12">
        <f>ROW(A17)-ROW(A$16)</f>
        <v>1</v>
      </c>
      <c r="B26" s="18"/>
      <c r="C26" s="18"/>
      <c r="D26" s="18"/>
      <c r="E26" s="18"/>
      <c r="F26" s="18"/>
      <c r="G26" s="18"/>
      <c r="H26" s="18"/>
      <c r="I26" s="20"/>
      <c r="J26" s="18"/>
    </row>
    <row r="27" spans="1:10" x14ac:dyDescent="0.15">
      <c r="A27" s="22" t="s">
        <v>6</v>
      </c>
      <c r="B27" s="22" t="s">
        <v>6</v>
      </c>
      <c r="C27" s="22" t="s">
        <v>6</v>
      </c>
      <c r="D27" s="13" t="s">
        <v>6</v>
      </c>
      <c r="E27" s="13" t="s">
        <v>6</v>
      </c>
      <c r="F27" s="13" t="s">
        <v>6</v>
      </c>
      <c r="G27" s="13" t="s">
        <v>6</v>
      </c>
      <c r="H27" s="13" t="s">
        <v>6</v>
      </c>
      <c r="I27" s="13" t="s">
        <v>6</v>
      </c>
      <c r="J2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"/>
  <sheetViews>
    <sheetView workbookViewId="0"/>
  </sheetViews>
  <sheetFormatPr defaultRowHeight="13.5" x14ac:dyDescent="0.15"/>
  <cols>
    <col min="1" max="1" width="4.875" bestFit="1" customWidth="1"/>
    <col min="2" max="2" width="16.875" bestFit="1" customWidth="1"/>
    <col min="3" max="3" width="14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1201</v>
      </c>
      <c r="C1" s="24" t="str">
        <f>INDEX(目录!D:D,MATCH(B1,目录!E:E,0))</f>
        <v>志愿培训信息表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1200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1202</v>
      </c>
      <c r="D9" s="18" t="s">
        <v>669</v>
      </c>
      <c r="E9" s="19">
        <v>2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1203</v>
      </c>
      <c r="C10" s="18" t="s">
        <v>1204</v>
      </c>
      <c r="D10" s="18" t="s">
        <v>669</v>
      </c>
      <c r="E10" s="19">
        <v>2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1205</v>
      </c>
      <c r="C11" s="18" t="s">
        <v>1206</v>
      </c>
      <c r="D11" s="18" t="s">
        <v>166</v>
      </c>
      <c r="E11" s="19">
        <v>128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354</v>
      </c>
      <c r="C12" s="18" t="s">
        <v>1207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184</v>
      </c>
      <c r="C13" s="18" t="s">
        <v>1208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1013</v>
      </c>
      <c r="C14" s="18" t="s">
        <v>1209</v>
      </c>
      <c r="D14" s="18" t="s">
        <v>1091</v>
      </c>
      <c r="E14" s="19">
        <v>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533</v>
      </c>
      <c r="C15" s="18" t="s">
        <v>1210</v>
      </c>
      <c r="D15" s="18" t="s">
        <v>166</v>
      </c>
      <c r="E15" s="19">
        <v>128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1211</v>
      </c>
      <c r="C16" s="18" t="s">
        <v>1212</v>
      </c>
      <c r="D16" s="18" t="s">
        <v>400</v>
      </c>
      <c r="E16" s="19">
        <v>1024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234</v>
      </c>
      <c r="C17" s="18" t="s">
        <v>1213</v>
      </c>
      <c r="D17" s="18" t="s">
        <v>400</v>
      </c>
      <c r="E17" s="19">
        <v>1024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1214</v>
      </c>
      <c r="C18" s="18" t="s">
        <v>1215</v>
      </c>
      <c r="D18" s="18" t="s">
        <v>166</v>
      </c>
      <c r="E18" s="19">
        <v>128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1216</v>
      </c>
      <c r="C19" s="18" t="s">
        <v>1217</v>
      </c>
      <c r="D19" s="18" t="s">
        <v>559</v>
      </c>
      <c r="E19" s="19">
        <v>12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1218</v>
      </c>
      <c r="C20" s="18" t="s">
        <v>1219</v>
      </c>
      <c r="D20" s="18" t="s">
        <v>81</v>
      </c>
      <c r="E20" s="19">
        <v>10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1220</v>
      </c>
      <c r="C21" s="18" t="s">
        <v>1221</v>
      </c>
      <c r="D21" s="18" t="s">
        <v>166</v>
      </c>
      <c r="E21" s="19">
        <v>128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466</v>
      </c>
      <c r="C22" s="18" t="s">
        <v>467</v>
      </c>
      <c r="D22" s="18" t="s">
        <v>166</v>
      </c>
      <c r="E22" s="19">
        <v>128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468</v>
      </c>
      <c r="C23" s="18" t="s">
        <v>469</v>
      </c>
      <c r="D23" s="18" t="s">
        <v>206</v>
      </c>
      <c r="E23" s="19">
        <v>32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470</v>
      </c>
      <c r="C24" s="18" t="s">
        <v>471</v>
      </c>
      <c r="D24" s="18" t="s">
        <v>206</v>
      </c>
      <c r="E24" s="19">
        <v>32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472</v>
      </c>
      <c r="C25" s="18" t="s">
        <v>473</v>
      </c>
      <c r="D25" s="18" t="s">
        <v>179</v>
      </c>
      <c r="E25" s="19">
        <v>64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 t="s">
        <v>703</v>
      </c>
      <c r="C26" s="18" t="s">
        <v>1222</v>
      </c>
      <c r="D26" s="18" t="s">
        <v>72</v>
      </c>
      <c r="E26" s="19">
        <v>19</v>
      </c>
      <c r="F26" s="14"/>
      <c r="G26" s="12"/>
      <c r="H26" s="12"/>
      <c r="I26" s="29"/>
      <c r="J26" s="29"/>
    </row>
    <row r="27" spans="1:10" x14ac:dyDescent="0.15">
      <c r="A27" s="12">
        <f>ROW(A8)-ROW(A$7)</f>
        <v>20</v>
      </c>
      <c r="B27" s="18" t="s">
        <v>705</v>
      </c>
      <c r="C27" s="18" t="s">
        <v>1223</v>
      </c>
      <c r="D27" s="18" t="s">
        <v>72</v>
      </c>
      <c r="E27" s="19">
        <v>19</v>
      </c>
      <c r="F27" s="14"/>
      <c r="G27" s="12"/>
      <c r="H27" s="12"/>
      <c r="I27" s="29"/>
      <c r="J27" s="29"/>
    </row>
    <row r="28" spans="1:10" x14ac:dyDescent="0.15">
      <c r="A28" s="12">
        <f>ROW(A8)-ROW(A$7)</f>
        <v>21</v>
      </c>
      <c r="B28" s="18" t="s">
        <v>1224</v>
      </c>
      <c r="C28" s="18" t="s">
        <v>1225</v>
      </c>
      <c r="D28" s="18" t="s">
        <v>81</v>
      </c>
      <c r="E28" s="19">
        <v>10</v>
      </c>
      <c r="F28" s="14"/>
      <c r="G28" s="12"/>
      <c r="H28" s="12"/>
      <c r="I28" s="29"/>
      <c r="J28" s="29"/>
    </row>
    <row r="29" spans="1:10" x14ac:dyDescent="0.15">
      <c r="A29" s="12">
        <f>ROW(A8)-ROW(A$7)</f>
        <v>22</v>
      </c>
      <c r="B29" s="18" t="s">
        <v>1226</v>
      </c>
      <c r="C29" s="18" t="s">
        <v>1227</v>
      </c>
      <c r="D29" s="18" t="s">
        <v>400</v>
      </c>
      <c r="E29" s="19">
        <v>1024</v>
      </c>
      <c r="F29" s="14"/>
      <c r="G29" s="12"/>
      <c r="H29" s="12"/>
      <c r="I29" s="29"/>
      <c r="J29" s="29"/>
    </row>
    <row r="30" spans="1:10" x14ac:dyDescent="0.15">
      <c r="A30" s="12">
        <f>ROW(A8)-ROW(A$7)</f>
        <v>23</v>
      </c>
      <c r="B30" s="18"/>
      <c r="C30" s="18"/>
      <c r="D30" s="18"/>
      <c r="E30" s="19"/>
      <c r="F30" s="14"/>
      <c r="G30" s="12"/>
      <c r="H30" s="12"/>
      <c r="I30" s="29"/>
      <c r="J30" s="29"/>
    </row>
    <row r="31" spans="1:10" x14ac:dyDescent="0.15">
      <c r="A31" s="22" t="s">
        <v>6</v>
      </c>
      <c r="B31" s="22" t="s">
        <v>6</v>
      </c>
      <c r="C31" s="22" t="s">
        <v>6</v>
      </c>
      <c r="D31" s="13" t="s">
        <v>6</v>
      </c>
      <c r="E31" s="13" t="s">
        <v>6</v>
      </c>
      <c r="F31" s="13" t="s">
        <v>6</v>
      </c>
      <c r="G31" s="13" t="s">
        <v>6</v>
      </c>
      <c r="H31" s="13" t="s">
        <v>6</v>
      </c>
      <c r="I31" s="13" t="s">
        <v>6</v>
      </c>
      <c r="J31" s="13" t="s">
        <v>6</v>
      </c>
    </row>
    <row r="34" spans="1:10" x14ac:dyDescent="0.15">
      <c r="A34" s="11" t="s">
        <v>0</v>
      </c>
      <c r="B34" s="11" t="s">
        <v>86</v>
      </c>
      <c r="C34" s="11" t="s">
        <v>87</v>
      </c>
      <c r="D34" s="11" t="s">
        <v>88</v>
      </c>
      <c r="E34" s="11" t="s">
        <v>89</v>
      </c>
      <c r="F34" s="11" t="s">
        <v>90</v>
      </c>
      <c r="G34" s="11" t="s">
        <v>91</v>
      </c>
      <c r="H34" s="11" t="s">
        <v>92</v>
      </c>
      <c r="I34" s="11" t="s">
        <v>93</v>
      </c>
      <c r="J34" s="11" t="s">
        <v>69</v>
      </c>
    </row>
    <row r="35" spans="1:10" x14ac:dyDescent="0.15">
      <c r="A35" s="12">
        <f>ROW(A17)-ROW(A$16)</f>
        <v>1</v>
      </c>
      <c r="B35" s="18"/>
      <c r="C35" s="18"/>
      <c r="D35" s="18"/>
      <c r="E35" s="18"/>
      <c r="F35" s="18"/>
      <c r="G35" s="18"/>
      <c r="H35" s="18"/>
      <c r="I35" s="20"/>
      <c r="J35" s="18"/>
    </row>
    <row r="36" spans="1:10" x14ac:dyDescent="0.15">
      <c r="A36" s="22" t="s">
        <v>6</v>
      </c>
      <c r="B36" s="22" t="s">
        <v>6</v>
      </c>
      <c r="C36" s="22" t="s">
        <v>6</v>
      </c>
      <c r="D36" s="13" t="s">
        <v>6</v>
      </c>
      <c r="E36" s="13" t="s">
        <v>6</v>
      </c>
      <c r="F36" s="13" t="s">
        <v>6</v>
      </c>
      <c r="G36" s="13" t="s">
        <v>6</v>
      </c>
      <c r="H36" s="13" t="s">
        <v>6</v>
      </c>
      <c r="I36" s="13" t="s">
        <v>6</v>
      </c>
      <c r="J36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19.875" bestFit="1" customWidth="1"/>
    <col min="3" max="3" width="10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1228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1120</v>
      </c>
      <c r="C9" s="18" t="s">
        <v>1121</v>
      </c>
      <c r="D9" s="18" t="s">
        <v>72</v>
      </c>
      <c r="E9" s="19">
        <v>19</v>
      </c>
      <c r="F9" s="14"/>
      <c r="G9" s="12"/>
      <c r="H9" s="12" t="s">
        <v>15</v>
      </c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1229</v>
      </c>
      <c r="D10" s="18" t="s">
        <v>72</v>
      </c>
      <c r="E10" s="19">
        <v>19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 t="s">
        <v>1230</v>
      </c>
      <c r="C11" s="18" t="s">
        <v>1231</v>
      </c>
      <c r="D11" s="18" t="s">
        <v>81</v>
      </c>
      <c r="E11" s="19">
        <v>10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1232</v>
      </c>
      <c r="C12" s="18" t="s">
        <v>1233</v>
      </c>
      <c r="D12" s="18" t="s">
        <v>81</v>
      </c>
      <c r="E12" s="19">
        <v>10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1234</v>
      </c>
      <c r="C13" s="18" t="s">
        <v>1235</v>
      </c>
      <c r="D13" s="18" t="s">
        <v>559</v>
      </c>
      <c r="E13" s="19">
        <v>5</v>
      </c>
      <c r="F13" s="14">
        <v>2</v>
      </c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139</v>
      </c>
      <c r="C14" s="18" t="s">
        <v>321</v>
      </c>
      <c r="D14" s="18" t="s">
        <v>72</v>
      </c>
      <c r="E14" s="19">
        <v>19</v>
      </c>
      <c r="F14" s="14"/>
      <c r="G14" s="12"/>
      <c r="H14" s="12" t="s">
        <v>15</v>
      </c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workbookViewId="0"/>
  </sheetViews>
  <sheetFormatPr defaultRowHeight="13.5" x14ac:dyDescent="0.15"/>
  <cols>
    <col min="1" max="1" width="4.875" bestFit="1" customWidth="1"/>
    <col min="2" max="2" width="18.875" bestFit="1" customWidth="1"/>
    <col min="3" max="3" width="10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1237</v>
      </c>
      <c r="C1" s="24" t="str">
        <f>INDEX(目录!D:D,MATCH(B1,目录!E:E,0))</f>
        <v>培训信息和培训题中间表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1236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1120</v>
      </c>
      <c r="C9" s="18" t="s">
        <v>1121</v>
      </c>
      <c r="D9" s="18" t="s">
        <v>72</v>
      </c>
      <c r="E9" s="19">
        <v>19</v>
      </c>
      <c r="F9" s="14"/>
      <c r="G9" s="12"/>
      <c r="H9" s="12" t="s">
        <v>15</v>
      </c>
      <c r="I9" s="29"/>
      <c r="J9" s="29"/>
    </row>
    <row r="10" spans="1:10" x14ac:dyDescent="0.15">
      <c r="A10" s="12">
        <f>ROW(A8)-ROW(A$7)</f>
        <v>3</v>
      </c>
      <c r="B10" s="18" t="s">
        <v>1122</v>
      </c>
      <c r="C10" s="18" t="s">
        <v>1238</v>
      </c>
      <c r="D10" s="18" t="s">
        <v>72</v>
      </c>
      <c r="E10" s="19">
        <v>19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/>
      <c r="C11" s="18"/>
      <c r="D11" s="18"/>
      <c r="E11" s="19"/>
      <c r="F11" s="14"/>
      <c r="G11" s="12"/>
      <c r="H11" s="12"/>
      <c r="I11" s="29"/>
      <c r="J11" s="29"/>
    </row>
    <row r="12" spans="1:10" x14ac:dyDescent="0.15">
      <c r="A12" s="22" t="s">
        <v>6</v>
      </c>
      <c r="B12" s="22" t="s">
        <v>6</v>
      </c>
      <c r="C12" s="22" t="s">
        <v>6</v>
      </c>
      <c r="D12" s="13" t="s">
        <v>6</v>
      </c>
      <c r="E12" s="13" t="s">
        <v>6</v>
      </c>
      <c r="F12" s="13" t="s">
        <v>6</v>
      </c>
      <c r="G12" s="13" t="s">
        <v>6</v>
      </c>
      <c r="H12" s="13" t="s">
        <v>6</v>
      </c>
      <c r="I12" s="13" t="s">
        <v>6</v>
      </c>
      <c r="J12" s="13" t="s">
        <v>6</v>
      </c>
    </row>
    <row r="15" spans="1:10" x14ac:dyDescent="0.15">
      <c r="A15" s="11" t="s">
        <v>0</v>
      </c>
      <c r="B15" s="11" t="s">
        <v>86</v>
      </c>
      <c r="C15" s="11" t="s">
        <v>87</v>
      </c>
      <c r="D15" s="11" t="s">
        <v>88</v>
      </c>
      <c r="E15" s="11" t="s">
        <v>89</v>
      </c>
      <c r="F15" s="11" t="s">
        <v>90</v>
      </c>
      <c r="G15" s="11" t="s">
        <v>91</v>
      </c>
      <c r="H15" s="11" t="s">
        <v>92</v>
      </c>
      <c r="I15" s="11" t="s">
        <v>93</v>
      </c>
      <c r="J15" s="11" t="s">
        <v>69</v>
      </c>
    </row>
    <row r="16" spans="1:10" x14ac:dyDescent="0.15">
      <c r="A16" s="12">
        <f>ROW(A17)-ROW(A$16)</f>
        <v>1</v>
      </c>
      <c r="B16" s="18"/>
      <c r="C16" s="18"/>
      <c r="D16" s="18"/>
      <c r="E16" s="18"/>
      <c r="F16" s="18"/>
      <c r="G16" s="18"/>
      <c r="H16" s="18"/>
      <c r="I16" s="20"/>
      <c r="J16" s="18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workbookViewId="0"/>
  </sheetViews>
  <sheetFormatPr defaultRowHeight="13.5" x14ac:dyDescent="0.15"/>
  <cols>
    <col min="1" max="1" width="4.875" bestFit="1" customWidth="1"/>
    <col min="2" max="2" width="20.875" bestFit="1" customWidth="1"/>
    <col min="3" max="3" width="10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1239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236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230</v>
      </c>
      <c r="C10" s="18" t="s">
        <v>263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139</v>
      </c>
      <c r="C11" s="18" t="s">
        <v>321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/>
      <c r="C12" s="18"/>
      <c r="D12" s="18"/>
      <c r="E12" s="19"/>
      <c r="F12" s="14"/>
      <c r="G12" s="12"/>
      <c r="H12" s="12"/>
      <c r="I12" s="29"/>
      <c r="J12" s="29"/>
    </row>
    <row r="13" spans="1:10" x14ac:dyDescent="0.15">
      <c r="A13" s="22" t="s">
        <v>6</v>
      </c>
      <c r="B13" s="22" t="s">
        <v>6</v>
      </c>
      <c r="C13" s="22" t="s">
        <v>6</v>
      </c>
      <c r="D13" s="13" t="s">
        <v>6</v>
      </c>
      <c r="E13" s="13" t="s">
        <v>6</v>
      </c>
      <c r="F13" s="13" t="s">
        <v>6</v>
      </c>
      <c r="G13" s="13" t="s">
        <v>6</v>
      </c>
      <c r="H13" s="13" t="s">
        <v>6</v>
      </c>
      <c r="I13" s="13" t="s">
        <v>6</v>
      </c>
      <c r="J13" s="13" t="s">
        <v>6</v>
      </c>
    </row>
    <row r="16" spans="1:10" x14ac:dyDescent="0.15">
      <c r="A16" s="11" t="s">
        <v>0</v>
      </c>
      <c r="B16" s="11" t="s">
        <v>86</v>
      </c>
      <c r="C16" s="11" t="s">
        <v>87</v>
      </c>
      <c r="D16" s="11" t="s">
        <v>88</v>
      </c>
      <c r="E16" s="11" t="s">
        <v>89</v>
      </c>
      <c r="F16" s="11" t="s">
        <v>90</v>
      </c>
      <c r="G16" s="11" t="s">
        <v>91</v>
      </c>
      <c r="H16" s="11" t="s">
        <v>92</v>
      </c>
      <c r="I16" s="11" t="s">
        <v>93</v>
      </c>
      <c r="J16" s="11" t="s">
        <v>69</v>
      </c>
    </row>
    <row r="17" spans="1:10" x14ac:dyDescent="0.15">
      <c r="A17" s="12">
        <f>ROW(A17)-ROW(A$16)</f>
        <v>1</v>
      </c>
      <c r="B17" s="18"/>
      <c r="C17" s="18"/>
      <c r="D17" s="18"/>
      <c r="E17" s="18"/>
      <c r="F17" s="18"/>
      <c r="G17" s="18"/>
      <c r="H17" s="18"/>
      <c r="I17" s="20"/>
      <c r="J17" s="18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2" width="14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1241</v>
      </c>
      <c r="C1" s="24" t="str">
        <f>INDEX(目录!D:D,MATCH(B1,目录!E:E,0))</f>
        <v>培训轮播图片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1240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156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453</v>
      </c>
      <c r="C9" s="18" t="s">
        <v>1242</v>
      </c>
      <c r="D9" s="18" t="s">
        <v>179</v>
      </c>
      <c r="E9" s="19">
        <v>64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280</v>
      </c>
      <c r="C10" s="18" t="s">
        <v>1243</v>
      </c>
      <c r="D10" s="18" t="s">
        <v>179</v>
      </c>
      <c r="E10" s="19">
        <v>64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1244</v>
      </c>
      <c r="C11" s="18" t="s">
        <v>1245</v>
      </c>
      <c r="D11" s="18" t="s">
        <v>250</v>
      </c>
      <c r="E11" s="19">
        <v>256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175</v>
      </c>
      <c r="C12" s="18" t="s">
        <v>317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321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784</v>
      </c>
      <c r="C14" s="18" t="s">
        <v>323</v>
      </c>
      <c r="D14" s="18" t="s">
        <v>81</v>
      </c>
      <c r="E14" s="19">
        <v>10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343</v>
      </c>
      <c r="C15" s="18" t="s">
        <v>1246</v>
      </c>
      <c r="D15" s="18" t="s">
        <v>81</v>
      </c>
      <c r="E15" s="19">
        <v>10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0.875" bestFit="1" customWidth="1"/>
    <col min="4" max="4" width="11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1247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232</v>
      </c>
      <c r="C9" s="18" t="s">
        <v>773</v>
      </c>
      <c r="D9" s="18" t="s">
        <v>179</v>
      </c>
      <c r="E9" s="19">
        <v>64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139</v>
      </c>
      <c r="C10" s="18" t="s">
        <v>321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/>
      <c r="C11" s="18"/>
      <c r="D11" s="18"/>
      <c r="E11" s="19"/>
      <c r="F11" s="14"/>
      <c r="G11" s="12"/>
      <c r="H11" s="12"/>
      <c r="I11" s="29"/>
      <c r="J11" s="29"/>
    </row>
    <row r="12" spans="1:10" x14ac:dyDescent="0.15">
      <c r="A12" s="22" t="s">
        <v>6</v>
      </c>
      <c r="B12" s="22" t="s">
        <v>6</v>
      </c>
      <c r="C12" s="22" t="s">
        <v>6</v>
      </c>
      <c r="D12" s="13" t="s">
        <v>6</v>
      </c>
      <c r="E12" s="13" t="s">
        <v>6</v>
      </c>
      <c r="F12" s="13" t="s">
        <v>6</v>
      </c>
      <c r="G12" s="13" t="s">
        <v>6</v>
      </c>
      <c r="H12" s="13" t="s">
        <v>6</v>
      </c>
      <c r="I12" s="13" t="s">
        <v>6</v>
      </c>
      <c r="J12" s="13" t="s">
        <v>6</v>
      </c>
    </row>
    <row r="15" spans="1:10" x14ac:dyDescent="0.15">
      <c r="A15" s="11" t="s">
        <v>0</v>
      </c>
      <c r="B15" s="11" t="s">
        <v>86</v>
      </c>
      <c r="C15" s="11" t="s">
        <v>87</v>
      </c>
      <c r="D15" s="11" t="s">
        <v>88</v>
      </c>
      <c r="E15" s="11" t="s">
        <v>89</v>
      </c>
      <c r="F15" s="11" t="s">
        <v>90</v>
      </c>
      <c r="G15" s="11" t="s">
        <v>91</v>
      </c>
      <c r="H15" s="11" t="s">
        <v>92</v>
      </c>
      <c r="I15" s="11" t="s">
        <v>93</v>
      </c>
      <c r="J15" s="11" t="s">
        <v>69</v>
      </c>
    </row>
    <row r="16" spans="1:10" x14ac:dyDescent="0.15">
      <c r="A16" s="12">
        <f>ROW(A17)-ROW(A$16)</f>
        <v>1</v>
      </c>
      <c r="B16" s="18"/>
      <c r="C16" s="18"/>
      <c r="D16" s="18"/>
      <c r="E16" s="18"/>
      <c r="F16" s="18"/>
      <c r="G16" s="18"/>
      <c r="H16" s="18"/>
      <c r="I16" s="20"/>
      <c r="J16" s="18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14.875" bestFit="1" customWidth="1"/>
    <col min="3" max="3" width="10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1248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1249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1250</v>
      </c>
      <c r="C10" s="18" t="s">
        <v>1251</v>
      </c>
      <c r="D10" s="18" t="s">
        <v>166</v>
      </c>
      <c r="E10" s="19">
        <v>128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1252</v>
      </c>
      <c r="C11" s="18" t="s">
        <v>1253</v>
      </c>
      <c r="D11" s="18" t="s">
        <v>163</v>
      </c>
      <c r="E11" s="19">
        <v>16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139</v>
      </c>
      <c r="C12" s="18" t="s">
        <v>321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1254</v>
      </c>
      <c r="C13" s="18" t="s">
        <v>1255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10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1257</v>
      </c>
      <c r="C1" s="24" t="str">
        <f>INDEX(目录!D:D,MATCH(B1,目录!E:E,0))</f>
        <v>志愿组表彰奖励表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1256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/>
    </row>
    <row r="9" spans="1:10" x14ac:dyDescent="0.15">
      <c r="A9" s="12">
        <f>ROW(A8)-ROW(A$7)</f>
        <v>2</v>
      </c>
      <c r="B9" s="18" t="s">
        <v>1258</v>
      </c>
      <c r="C9" s="18" t="s">
        <v>1259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745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/>
      <c r="C11" s="18"/>
      <c r="D11" s="18"/>
      <c r="E11" s="19"/>
      <c r="F11" s="14"/>
      <c r="G11" s="12"/>
      <c r="H11" s="12"/>
      <c r="I11" s="29"/>
      <c r="J11" s="29"/>
    </row>
    <row r="12" spans="1:10" x14ac:dyDescent="0.15">
      <c r="A12" s="22" t="s">
        <v>6</v>
      </c>
      <c r="B12" s="22" t="s">
        <v>6</v>
      </c>
      <c r="C12" s="22" t="s">
        <v>6</v>
      </c>
      <c r="D12" s="13" t="s">
        <v>6</v>
      </c>
      <c r="E12" s="13" t="s">
        <v>6</v>
      </c>
      <c r="F12" s="13" t="s">
        <v>6</v>
      </c>
      <c r="G12" s="13" t="s">
        <v>6</v>
      </c>
      <c r="H12" s="13" t="s">
        <v>6</v>
      </c>
      <c r="I12" s="13" t="s">
        <v>6</v>
      </c>
      <c r="J12" s="13" t="s">
        <v>6</v>
      </c>
    </row>
    <row r="15" spans="1:10" x14ac:dyDescent="0.15">
      <c r="A15" s="11" t="s">
        <v>0</v>
      </c>
      <c r="B15" s="11" t="s">
        <v>86</v>
      </c>
      <c r="C15" s="11" t="s">
        <v>87</v>
      </c>
      <c r="D15" s="11" t="s">
        <v>88</v>
      </c>
      <c r="E15" s="11" t="s">
        <v>89</v>
      </c>
      <c r="F15" s="11" t="s">
        <v>90</v>
      </c>
      <c r="G15" s="11" t="s">
        <v>91</v>
      </c>
      <c r="H15" s="11" t="s">
        <v>92</v>
      </c>
      <c r="I15" s="11" t="s">
        <v>93</v>
      </c>
      <c r="J15" s="11" t="s">
        <v>69</v>
      </c>
    </row>
    <row r="16" spans="1:10" x14ac:dyDescent="0.15">
      <c r="A16" s="12">
        <f>ROW(A17)-ROW(A$16)</f>
        <v>1</v>
      </c>
      <c r="B16" s="18"/>
      <c r="C16" s="18"/>
      <c r="D16" s="18"/>
      <c r="E16" s="18"/>
      <c r="F16" s="18"/>
      <c r="G16" s="18"/>
      <c r="H16" s="18"/>
      <c r="I16" s="20"/>
      <c r="J16" s="18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workbookViewId="0"/>
  </sheetViews>
  <sheetFormatPr defaultRowHeight="13.5" x14ac:dyDescent="0.15"/>
  <cols>
    <col min="1" max="1" width="4.875" bestFit="1" customWidth="1"/>
    <col min="2" max="2" width="14.875" bestFit="1" customWidth="1"/>
    <col min="3" max="3" width="10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1261</v>
      </c>
      <c r="C1" s="24" t="str">
        <f>INDEX(目录!D:D,MATCH(B1,目录!E:E,0))</f>
        <v>用户好友表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1260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745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1262</v>
      </c>
      <c r="C10" s="18" t="s">
        <v>1263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139</v>
      </c>
      <c r="C11" s="18" t="s">
        <v>346</v>
      </c>
      <c r="D11" s="18" t="s">
        <v>735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/>
      <c r="C12" s="18"/>
      <c r="D12" s="18"/>
      <c r="E12" s="19"/>
      <c r="F12" s="14"/>
      <c r="G12" s="12"/>
      <c r="H12" s="12"/>
      <c r="I12" s="29"/>
      <c r="J12" s="29"/>
    </row>
    <row r="13" spans="1:10" x14ac:dyDescent="0.15">
      <c r="A13" s="22" t="s">
        <v>6</v>
      </c>
      <c r="B13" s="22" t="s">
        <v>6</v>
      </c>
      <c r="C13" s="22" t="s">
        <v>6</v>
      </c>
      <c r="D13" s="13" t="s">
        <v>6</v>
      </c>
      <c r="E13" s="13" t="s">
        <v>6</v>
      </c>
      <c r="F13" s="13" t="s">
        <v>6</v>
      </c>
      <c r="G13" s="13" t="s">
        <v>6</v>
      </c>
      <c r="H13" s="13" t="s">
        <v>6</v>
      </c>
      <c r="I13" s="13" t="s">
        <v>6</v>
      </c>
      <c r="J13" s="13" t="s">
        <v>6</v>
      </c>
    </row>
    <row r="16" spans="1:10" x14ac:dyDescent="0.15">
      <c r="A16" s="11" t="s">
        <v>0</v>
      </c>
      <c r="B16" s="11" t="s">
        <v>86</v>
      </c>
      <c r="C16" s="11" t="s">
        <v>87</v>
      </c>
      <c r="D16" s="11" t="s">
        <v>88</v>
      </c>
      <c r="E16" s="11" t="s">
        <v>89</v>
      </c>
      <c r="F16" s="11" t="s">
        <v>90</v>
      </c>
      <c r="G16" s="11" t="s">
        <v>91</v>
      </c>
      <c r="H16" s="11" t="s">
        <v>92</v>
      </c>
      <c r="I16" s="11" t="s">
        <v>93</v>
      </c>
      <c r="J16" s="11" t="s">
        <v>69</v>
      </c>
    </row>
    <row r="17" spans="1:10" x14ac:dyDescent="0.15">
      <c r="A17" s="12">
        <f>ROW(A17)-ROW(A$16)</f>
        <v>1</v>
      </c>
      <c r="B17" s="18"/>
      <c r="C17" s="18"/>
      <c r="D17" s="18"/>
      <c r="E17" s="18"/>
      <c r="F17" s="18"/>
      <c r="G17" s="18"/>
      <c r="H17" s="18"/>
      <c r="I17" s="20"/>
      <c r="J17" s="18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3" width="15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1265</v>
      </c>
      <c r="C1" s="24" t="str">
        <f>INDEX(目录!D:D,MATCH(B1,目录!E:E,0))</f>
        <v>用户留言表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1264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745</v>
      </c>
      <c r="D9" s="18" t="s">
        <v>98</v>
      </c>
      <c r="E9" s="19">
        <v>36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234</v>
      </c>
      <c r="C10" s="18" t="s">
        <v>752</v>
      </c>
      <c r="D10" s="18" t="s">
        <v>400</v>
      </c>
      <c r="E10" s="19">
        <v>1024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1266</v>
      </c>
      <c r="C11" s="18" t="s">
        <v>1267</v>
      </c>
      <c r="D11" s="18" t="s">
        <v>98</v>
      </c>
      <c r="E11" s="19">
        <v>36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819</v>
      </c>
      <c r="C12" s="18" t="s">
        <v>1268</v>
      </c>
      <c r="D12" s="18" t="s">
        <v>138</v>
      </c>
      <c r="E12" s="19">
        <v>3</v>
      </c>
      <c r="F12" s="14"/>
      <c r="G12" s="12"/>
      <c r="H12" s="12"/>
      <c r="I12" s="29" t="s">
        <v>188</v>
      </c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346</v>
      </c>
      <c r="D13" s="18" t="s">
        <v>735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27.875" bestFit="1" customWidth="1"/>
    <col min="4" max="4" width="11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1270</v>
      </c>
      <c r="C1" s="24" t="str">
        <f>INDEX(目录!D:D,MATCH(B1,目录!E:E,0))</f>
        <v>用户发表信息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1269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745</v>
      </c>
      <c r="D9" s="18" t="s">
        <v>81</v>
      </c>
      <c r="E9" s="19">
        <v>10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328</v>
      </c>
      <c r="C10" s="18" t="s">
        <v>1271</v>
      </c>
      <c r="D10" s="18" t="s">
        <v>179</v>
      </c>
      <c r="E10" s="19">
        <v>64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232</v>
      </c>
      <c r="C11" s="18" t="s">
        <v>773</v>
      </c>
      <c r="D11" s="18" t="s">
        <v>179</v>
      </c>
      <c r="E11" s="19">
        <v>64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234</v>
      </c>
      <c r="C12" s="18" t="s">
        <v>752</v>
      </c>
      <c r="D12" s="18" t="s">
        <v>78</v>
      </c>
      <c r="E12" s="19">
        <v>65535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774</v>
      </c>
      <c r="C13" s="18" t="s">
        <v>190</v>
      </c>
      <c r="D13" s="18" t="s">
        <v>81</v>
      </c>
      <c r="E13" s="19">
        <v>10</v>
      </c>
      <c r="F13" s="14"/>
      <c r="G13" s="12"/>
      <c r="H13" s="12"/>
      <c r="I13" s="29" t="s">
        <v>188</v>
      </c>
      <c r="J13" s="29"/>
    </row>
    <row r="14" spans="1:10" x14ac:dyDescent="0.15">
      <c r="A14" s="12">
        <f>ROW(A8)-ROW(A$7)</f>
        <v>7</v>
      </c>
      <c r="B14" s="18" t="s">
        <v>139</v>
      </c>
      <c r="C14" s="18" t="s">
        <v>346</v>
      </c>
      <c r="D14" s="18" t="s">
        <v>735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/>
      <c r="C15" s="18"/>
      <c r="D15" s="18"/>
      <c r="E15" s="19"/>
      <c r="F15" s="14"/>
      <c r="G15" s="12"/>
      <c r="H15" s="12"/>
      <c r="I15" s="29"/>
      <c r="J15" s="29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  <row r="19" spans="1:10" x14ac:dyDescent="0.15">
      <c r="A19" s="11" t="s">
        <v>0</v>
      </c>
      <c r="B19" s="11" t="s">
        <v>86</v>
      </c>
      <c r="C19" s="11" t="s">
        <v>87</v>
      </c>
      <c r="D19" s="11" t="s">
        <v>88</v>
      </c>
      <c r="E19" s="11" t="s">
        <v>89</v>
      </c>
      <c r="F19" s="11" t="s">
        <v>90</v>
      </c>
      <c r="G19" s="11" t="s">
        <v>91</v>
      </c>
      <c r="H19" s="11" t="s">
        <v>92</v>
      </c>
      <c r="I19" s="11" t="s">
        <v>93</v>
      </c>
      <c r="J19" s="11" t="s">
        <v>69</v>
      </c>
    </row>
    <row r="20" spans="1:10" x14ac:dyDescent="0.15">
      <c r="A20" s="12">
        <f>ROW(A17)-ROW(A$16)</f>
        <v>1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22" t="s">
        <v>6</v>
      </c>
      <c r="B21" s="22" t="s">
        <v>6</v>
      </c>
      <c r="C21" s="22" t="s">
        <v>6</v>
      </c>
      <c r="D21" s="13" t="s">
        <v>6</v>
      </c>
      <c r="E21" s="13" t="s">
        <v>6</v>
      </c>
      <c r="F21" s="13" t="s">
        <v>6</v>
      </c>
      <c r="G21" s="13" t="s">
        <v>6</v>
      </c>
      <c r="H21" s="13" t="s">
        <v>6</v>
      </c>
      <c r="I21" s="13" t="s">
        <v>6</v>
      </c>
      <c r="J21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workbookViewId="0"/>
  </sheetViews>
  <sheetFormatPr defaultRowHeight="13.5" x14ac:dyDescent="0.15"/>
  <cols>
    <col min="1" max="1" width="4.875" bestFit="1" customWidth="1"/>
    <col min="2" max="2" width="14.875" bestFit="1" customWidth="1"/>
    <col min="3" max="3" width="12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1273</v>
      </c>
      <c r="C1" s="24" t="str">
        <f>INDEX(目录!D:D,MATCH(B1,目录!E:E,0))</f>
        <v>用户通知表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1272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234</v>
      </c>
      <c r="C9" s="18" t="s">
        <v>752</v>
      </c>
      <c r="D9" s="18" t="s">
        <v>400</v>
      </c>
      <c r="E9" s="19">
        <v>1024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139</v>
      </c>
      <c r="C10" s="18" t="s">
        <v>346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886</v>
      </c>
      <c r="C11" s="18" t="s">
        <v>886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117</v>
      </c>
      <c r="C12" s="18" t="s">
        <v>117</v>
      </c>
      <c r="D12" s="18" t="s">
        <v>163</v>
      </c>
      <c r="E12" s="19">
        <v>16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/>
      <c r="C13" s="18"/>
      <c r="D13" s="18"/>
      <c r="E13" s="19"/>
      <c r="F13" s="14"/>
      <c r="G13" s="12"/>
      <c r="H13" s="12"/>
      <c r="I13" s="29"/>
      <c r="J13" s="29"/>
    </row>
    <row r="14" spans="1:10" x14ac:dyDescent="0.15">
      <c r="A14" s="22" t="s">
        <v>6</v>
      </c>
      <c r="B14" s="22" t="s">
        <v>6</v>
      </c>
      <c r="C14" s="22" t="s">
        <v>6</v>
      </c>
      <c r="D14" s="13" t="s">
        <v>6</v>
      </c>
      <c r="E14" s="13" t="s">
        <v>6</v>
      </c>
      <c r="F14" s="13" t="s">
        <v>6</v>
      </c>
      <c r="G14" s="13" t="s">
        <v>6</v>
      </c>
      <c r="H14" s="13" t="s">
        <v>6</v>
      </c>
      <c r="I14" s="13" t="s">
        <v>6</v>
      </c>
      <c r="J14" s="13" t="s">
        <v>6</v>
      </c>
    </row>
    <row r="17" spans="1:10" x14ac:dyDescent="0.15">
      <c r="A17" s="11" t="s">
        <v>0</v>
      </c>
      <c r="B17" s="11" t="s">
        <v>86</v>
      </c>
      <c r="C17" s="11" t="s">
        <v>87</v>
      </c>
      <c r="D17" s="11" t="s">
        <v>88</v>
      </c>
      <c r="E17" s="11" t="s">
        <v>89</v>
      </c>
      <c r="F17" s="11" t="s">
        <v>90</v>
      </c>
      <c r="G17" s="11" t="s">
        <v>91</v>
      </c>
      <c r="H17" s="11" t="s">
        <v>92</v>
      </c>
      <c r="I17" s="11" t="s">
        <v>93</v>
      </c>
      <c r="J17" s="11" t="s">
        <v>69</v>
      </c>
    </row>
    <row r="18" spans="1:10" x14ac:dyDescent="0.15">
      <c r="A18" s="12">
        <f>ROW(A17)-ROW(A$16)</f>
        <v>1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22" t="s">
        <v>6</v>
      </c>
      <c r="B19" s="22" t="s">
        <v>6</v>
      </c>
      <c r="C19" s="22" t="s">
        <v>6</v>
      </c>
      <c r="D19" s="13" t="s">
        <v>6</v>
      </c>
      <c r="E19" s="13" t="s">
        <v>6</v>
      </c>
      <c r="F19" s="13" t="s">
        <v>6</v>
      </c>
      <c r="G19" s="13" t="s">
        <v>6</v>
      </c>
      <c r="H19" s="13" t="s">
        <v>6</v>
      </c>
      <c r="I19" s="13" t="s">
        <v>6</v>
      </c>
      <c r="J19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19.875" bestFit="1" customWidth="1"/>
    <col min="3" max="3" width="10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1275</v>
      </c>
      <c r="C1" s="24" t="str">
        <f>INDEX(目录!D:D,MATCH(B1,目录!E:E,0))</f>
        <v>志愿者系统消息已读未读表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1274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745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1276</v>
      </c>
      <c r="C10" s="18" t="s">
        <v>1277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137</v>
      </c>
      <c r="C11" s="18" t="s">
        <v>1278</v>
      </c>
      <c r="D11" s="18" t="s">
        <v>138</v>
      </c>
      <c r="E11" s="19">
        <v>3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141</v>
      </c>
      <c r="C12" s="18" t="s">
        <v>140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321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workbookViewId="0"/>
  </sheetViews>
  <sheetFormatPr defaultRowHeight="13.5" x14ac:dyDescent="0.15"/>
  <cols>
    <col min="1" max="1" width="4.875" bestFit="1" customWidth="1"/>
    <col min="2" max="2" width="16.875" bestFit="1" customWidth="1"/>
    <col min="3" max="3" width="10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1280</v>
      </c>
      <c r="C1" s="24" t="str">
        <f>INDEX(目录!D:D,MATCH(B1,目录!E:E,0))</f>
        <v>志愿组培训表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1279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/>
    </row>
    <row r="9" spans="1:10" x14ac:dyDescent="0.15">
      <c r="A9" s="12">
        <f>ROW(A8)-ROW(A$7)</f>
        <v>2</v>
      </c>
      <c r="B9" s="18" t="s">
        <v>1281</v>
      </c>
      <c r="C9" s="18" t="s">
        <v>1121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127</v>
      </c>
      <c r="C10" s="18" t="s">
        <v>745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/>
      <c r="C11" s="18"/>
      <c r="D11" s="18"/>
      <c r="E11" s="19"/>
      <c r="F11" s="14"/>
      <c r="G11" s="12"/>
      <c r="H11" s="12"/>
      <c r="I11" s="29"/>
      <c r="J11" s="29"/>
    </row>
    <row r="12" spans="1:10" x14ac:dyDescent="0.15">
      <c r="A12" s="22" t="s">
        <v>6</v>
      </c>
      <c r="B12" s="22" t="s">
        <v>6</v>
      </c>
      <c r="C12" s="22" t="s">
        <v>6</v>
      </c>
      <c r="D12" s="13" t="s">
        <v>6</v>
      </c>
      <c r="E12" s="13" t="s">
        <v>6</v>
      </c>
      <c r="F12" s="13" t="s">
        <v>6</v>
      </c>
      <c r="G12" s="13" t="s">
        <v>6</v>
      </c>
      <c r="H12" s="13" t="s">
        <v>6</v>
      </c>
      <c r="I12" s="13" t="s">
        <v>6</v>
      </c>
      <c r="J12" s="13" t="s">
        <v>6</v>
      </c>
    </row>
    <row r="15" spans="1:10" x14ac:dyDescent="0.15">
      <c r="A15" s="11" t="s">
        <v>0</v>
      </c>
      <c r="B15" s="11" t="s">
        <v>86</v>
      </c>
      <c r="C15" s="11" t="s">
        <v>87</v>
      </c>
      <c r="D15" s="11" t="s">
        <v>88</v>
      </c>
      <c r="E15" s="11" t="s">
        <v>89</v>
      </c>
      <c r="F15" s="11" t="s">
        <v>90</v>
      </c>
      <c r="G15" s="11" t="s">
        <v>91</v>
      </c>
      <c r="H15" s="11" t="s">
        <v>92</v>
      </c>
      <c r="I15" s="11" t="s">
        <v>93</v>
      </c>
      <c r="J15" s="11" t="s">
        <v>69</v>
      </c>
    </row>
    <row r="16" spans="1:10" x14ac:dyDescent="0.15">
      <c r="A16" s="12">
        <f>ROW(A17)-ROW(A$16)</f>
        <v>1</v>
      </c>
      <c r="B16" s="18"/>
      <c r="C16" s="18"/>
      <c r="D16" s="18"/>
      <c r="E16" s="18"/>
      <c r="F16" s="18"/>
      <c r="G16" s="18"/>
      <c r="H16" s="18"/>
      <c r="I16" s="20"/>
      <c r="J16" s="18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9"/>
  <sheetViews>
    <sheetView workbookViewId="0"/>
  </sheetViews>
  <sheetFormatPr defaultRowHeight="13.5" x14ac:dyDescent="0.15"/>
  <cols>
    <col min="1" max="1" width="4.875" bestFit="1" customWidth="1"/>
    <col min="2" max="2" width="18.875" bestFit="1" customWidth="1"/>
    <col min="3" max="3" width="22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1283</v>
      </c>
      <c r="C1" s="24" t="str">
        <f>INDEX(目录!D:D,MATCH(B1,目录!E:E,0))</f>
        <v>志愿者信息表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1282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127</v>
      </c>
      <c r="C9" s="18" t="s">
        <v>236</v>
      </c>
      <c r="D9" s="18" t="s">
        <v>72</v>
      </c>
      <c r="E9" s="19">
        <v>19</v>
      </c>
      <c r="F9" s="14"/>
      <c r="G9" s="12"/>
      <c r="H9" s="12" t="s">
        <v>15</v>
      </c>
      <c r="I9" s="29"/>
      <c r="J9" s="29"/>
    </row>
    <row r="10" spans="1:10" x14ac:dyDescent="0.15">
      <c r="A10" s="12">
        <f>ROW(A8)-ROW(A$7)</f>
        <v>3</v>
      </c>
      <c r="B10" s="18" t="s">
        <v>664</v>
      </c>
      <c r="C10" s="18" t="s">
        <v>856</v>
      </c>
      <c r="D10" s="18" t="s">
        <v>179</v>
      </c>
      <c r="E10" s="19">
        <v>64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849</v>
      </c>
      <c r="C11" s="18" t="s">
        <v>850</v>
      </c>
      <c r="D11" s="18" t="s">
        <v>851</v>
      </c>
      <c r="E11" s="19">
        <v>1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852</v>
      </c>
      <c r="C12" s="18" t="s">
        <v>853</v>
      </c>
      <c r="D12" s="18" t="s">
        <v>206</v>
      </c>
      <c r="E12" s="19">
        <v>32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1284</v>
      </c>
      <c r="C13" s="18" t="s">
        <v>1285</v>
      </c>
      <c r="D13" s="18" t="s">
        <v>179</v>
      </c>
      <c r="E13" s="19">
        <v>64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1286</v>
      </c>
      <c r="C14" s="18" t="s">
        <v>1287</v>
      </c>
      <c r="D14" s="18" t="s">
        <v>179</v>
      </c>
      <c r="E14" s="19">
        <v>64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615</v>
      </c>
      <c r="C15" s="18" t="s">
        <v>823</v>
      </c>
      <c r="D15" s="18" t="s">
        <v>179</v>
      </c>
      <c r="E15" s="19">
        <v>64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1288</v>
      </c>
      <c r="C16" s="18" t="s">
        <v>1289</v>
      </c>
      <c r="D16" s="18" t="s">
        <v>735</v>
      </c>
      <c r="E16" s="19">
        <v>19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1290</v>
      </c>
      <c r="C17" s="18" t="s">
        <v>1291</v>
      </c>
      <c r="D17" s="18" t="s">
        <v>1292</v>
      </c>
      <c r="E17" s="19">
        <v>3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1293</v>
      </c>
      <c r="C18" s="18" t="s">
        <v>1294</v>
      </c>
      <c r="D18" s="18" t="s">
        <v>81</v>
      </c>
      <c r="E18" s="19">
        <v>10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1295</v>
      </c>
      <c r="C19" s="18" t="s">
        <v>1296</v>
      </c>
      <c r="D19" s="18" t="s">
        <v>81</v>
      </c>
      <c r="E19" s="19">
        <v>10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1297</v>
      </c>
      <c r="C20" s="18" t="s">
        <v>1298</v>
      </c>
      <c r="D20" s="18" t="s">
        <v>166</v>
      </c>
      <c r="E20" s="19">
        <v>128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1299</v>
      </c>
      <c r="C21" s="18" t="s">
        <v>1300</v>
      </c>
      <c r="D21" s="18" t="s">
        <v>81</v>
      </c>
      <c r="E21" s="19">
        <v>10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1301</v>
      </c>
      <c r="C22" s="18" t="s">
        <v>1302</v>
      </c>
      <c r="D22" s="18" t="s">
        <v>179</v>
      </c>
      <c r="E22" s="19">
        <v>64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1303</v>
      </c>
      <c r="C23" s="18" t="s">
        <v>1304</v>
      </c>
      <c r="D23" s="18" t="s">
        <v>81</v>
      </c>
      <c r="E23" s="19">
        <v>10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1305</v>
      </c>
      <c r="C24" s="18" t="s">
        <v>1306</v>
      </c>
      <c r="D24" s="18" t="s">
        <v>669</v>
      </c>
      <c r="E24" s="19">
        <v>2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1307</v>
      </c>
      <c r="C25" s="18" t="s">
        <v>1308</v>
      </c>
      <c r="D25" s="18" t="s">
        <v>81</v>
      </c>
      <c r="E25" s="19">
        <v>10</v>
      </c>
      <c r="F25" s="14"/>
      <c r="G25" s="12"/>
      <c r="H25" s="12"/>
      <c r="I25" s="29"/>
      <c r="J25" s="29"/>
    </row>
    <row r="26" spans="1:10" x14ac:dyDescent="0.15">
      <c r="A26" s="12">
        <f>ROW(A8)-ROW(A$7)</f>
        <v>19</v>
      </c>
      <c r="B26" s="18" t="s">
        <v>1309</v>
      </c>
      <c r="C26" s="18" t="s">
        <v>1310</v>
      </c>
      <c r="D26" s="18" t="s">
        <v>81</v>
      </c>
      <c r="E26" s="19">
        <v>10</v>
      </c>
      <c r="F26" s="14"/>
      <c r="G26" s="12"/>
      <c r="H26" s="12"/>
      <c r="I26" s="29"/>
      <c r="J26" s="29"/>
    </row>
    <row r="27" spans="1:10" x14ac:dyDescent="0.15">
      <c r="A27" s="12">
        <f>ROW(A8)-ROW(A$7)</f>
        <v>20</v>
      </c>
      <c r="B27" s="18" t="s">
        <v>1311</v>
      </c>
      <c r="C27" s="18" t="s">
        <v>1312</v>
      </c>
      <c r="D27" s="18" t="s">
        <v>163</v>
      </c>
      <c r="E27" s="19">
        <v>16</v>
      </c>
      <c r="F27" s="14"/>
      <c r="G27" s="12"/>
      <c r="H27" s="12"/>
      <c r="I27" s="29"/>
      <c r="J27" s="29"/>
    </row>
    <row r="28" spans="1:10" x14ac:dyDescent="0.15">
      <c r="A28" s="12">
        <f>ROW(A8)-ROW(A$7)</f>
        <v>21</v>
      </c>
      <c r="B28" s="18" t="s">
        <v>1313</v>
      </c>
      <c r="C28" s="18" t="s">
        <v>1314</v>
      </c>
      <c r="D28" s="18" t="s">
        <v>179</v>
      </c>
      <c r="E28" s="19">
        <v>64</v>
      </c>
      <c r="F28" s="14"/>
      <c r="G28" s="12"/>
      <c r="H28" s="12"/>
      <c r="I28" s="29"/>
      <c r="J28" s="29"/>
    </row>
    <row r="29" spans="1:10" x14ac:dyDescent="0.15">
      <c r="A29" s="12">
        <f>ROW(A8)-ROW(A$7)</f>
        <v>22</v>
      </c>
      <c r="B29" s="18" t="s">
        <v>1315</v>
      </c>
      <c r="C29" s="18" t="s">
        <v>1316</v>
      </c>
      <c r="D29" s="18" t="s">
        <v>179</v>
      </c>
      <c r="E29" s="19">
        <v>64</v>
      </c>
      <c r="F29" s="14"/>
      <c r="G29" s="12"/>
      <c r="H29" s="12"/>
      <c r="I29" s="29"/>
      <c r="J29" s="29"/>
    </row>
    <row r="30" spans="1:10" x14ac:dyDescent="0.15">
      <c r="A30" s="12">
        <f>ROW(A8)-ROW(A$7)</f>
        <v>23</v>
      </c>
      <c r="B30" s="18" t="s">
        <v>533</v>
      </c>
      <c r="C30" s="18" t="s">
        <v>1317</v>
      </c>
      <c r="D30" s="18" t="s">
        <v>166</v>
      </c>
      <c r="E30" s="19">
        <v>128</v>
      </c>
      <c r="F30" s="14"/>
      <c r="G30" s="12"/>
      <c r="H30" s="12"/>
      <c r="I30" s="29"/>
      <c r="J30" s="29"/>
    </row>
    <row r="31" spans="1:10" x14ac:dyDescent="0.15">
      <c r="A31" s="12">
        <f>ROW(A8)-ROW(A$7)</f>
        <v>24</v>
      </c>
      <c r="B31" s="18" t="s">
        <v>1318</v>
      </c>
      <c r="C31" s="18" t="s">
        <v>1319</v>
      </c>
      <c r="D31" s="18" t="s">
        <v>1320</v>
      </c>
      <c r="E31" s="19">
        <v>11</v>
      </c>
      <c r="F31" s="14"/>
      <c r="G31" s="12"/>
      <c r="H31" s="12"/>
      <c r="I31" s="29"/>
      <c r="J31" s="29"/>
    </row>
    <row r="32" spans="1:10" x14ac:dyDescent="0.15">
      <c r="A32" s="12">
        <f>ROW(A8)-ROW(A$7)</f>
        <v>25</v>
      </c>
      <c r="B32" s="18" t="s">
        <v>1321</v>
      </c>
      <c r="C32" s="18" t="s">
        <v>1322</v>
      </c>
      <c r="D32" s="18" t="s">
        <v>179</v>
      </c>
      <c r="E32" s="19">
        <v>64</v>
      </c>
      <c r="F32" s="14"/>
      <c r="G32" s="12"/>
      <c r="H32" s="12"/>
      <c r="I32" s="29"/>
      <c r="J32" s="29"/>
    </row>
    <row r="33" spans="1:10" x14ac:dyDescent="0.15">
      <c r="A33" s="12">
        <f>ROW(A8)-ROW(A$7)</f>
        <v>26</v>
      </c>
      <c r="B33" s="18" t="s">
        <v>239</v>
      </c>
      <c r="C33" s="18" t="s">
        <v>1323</v>
      </c>
      <c r="D33" s="18" t="s">
        <v>166</v>
      </c>
      <c r="E33" s="19">
        <v>128</v>
      </c>
      <c r="F33" s="14"/>
      <c r="G33" s="12"/>
      <c r="H33" s="12"/>
      <c r="I33" s="29"/>
      <c r="J33" s="29"/>
    </row>
    <row r="34" spans="1:10" x14ac:dyDescent="0.15">
      <c r="A34" s="12">
        <f>ROW(A8)-ROW(A$7)</f>
        <v>27</v>
      </c>
      <c r="B34" s="18" t="s">
        <v>1324</v>
      </c>
      <c r="C34" s="18" t="s">
        <v>1325</v>
      </c>
      <c r="D34" s="18" t="s">
        <v>166</v>
      </c>
      <c r="E34" s="19">
        <v>128</v>
      </c>
      <c r="F34" s="14"/>
      <c r="G34" s="12"/>
      <c r="H34" s="12"/>
      <c r="I34" s="29"/>
      <c r="J34" s="29"/>
    </row>
    <row r="35" spans="1:10" x14ac:dyDescent="0.15">
      <c r="A35" s="12">
        <f>ROW(A8)-ROW(A$7)</f>
        <v>28</v>
      </c>
      <c r="B35" s="18" t="s">
        <v>1326</v>
      </c>
      <c r="C35" s="18" t="s">
        <v>1327</v>
      </c>
      <c r="D35" s="18" t="s">
        <v>81</v>
      </c>
      <c r="E35" s="19">
        <v>10</v>
      </c>
      <c r="F35" s="14"/>
      <c r="G35" s="12"/>
      <c r="H35" s="12"/>
      <c r="I35" s="29"/>
      <c r="J35" s="29"/>
    </row>
    <row r="36" spans="1:10" x14ac:dyDescent="0.15">
      <c r="A36" s="12">
        <f>ROW(A8)-ROW(A$7)</f>
        <v>29</v>
      </c>
      <c r="B36" s="18" t="s">
        <v>1328</v>
      </c>
      <c r="C36" s="18" t="s">
        <v>1329</v>
      </c>
      <c r="D36" s="18" t="s">
        <v>81</v>
      </c>
      <c r="E36" s="19">
        <v>10</v>
      </c>
      <c r="F36" s="14"/>
      <c r="G36" s="12"/>
      <c r="H36" s="12"/>
      <c r="I36" s="29"/>
      <c r="J36" s="29"/>
    </row>
    <row r="37" spans="1:10" x14ac:dyDescent="0.15">
      <c r="A37" s="12">
        <f>ROW(A8)-ROW(A$7)</f>
        <v>30</v>
      </c>
      <c r="B37" s="18" t="s">
        <v>1330</v>
      </c>
      <c r="C37" s="18" t="s">
        <v>1331</v>
      </c>
      <c r="D37" s="18" t="s">
        <v>1292</v>
      </c>
      <c r="E37" s="19">
        <v>3</v>
      </c>
      <c r="F37" s="14"/>
      <c r="G37" s="12"/>
      <c r="H37" s="12"/>
      <c r="I37" s="29"/>
      <c r="J37" s="29"/>
    </row>
    <row r="38" spans="1:10" x14ac:dyDescent="0.15">
      <c r="A38" s="12">
        <f>ROW(A8)-ROW(A$7)</f>
        <v>31</v>
      </c>
      <c r="B38" s="18" t="s">
        <v>1332</v>
      </c>
      <c r="C38" s="18" t="s">
        <v>1333</v>
      </c>
      <c r="D38" s="18" t="s">
        <v>179</v>
      </c>
      <c r="E38" s="19">
        <v>64</v>
      </c>
      <c r="F38" s="14"/>
      <c r="G38" s="12"/>
      <c r="H38" s="12"/>
      <c r="I38" s="29"/>
      <c r="J38" s="29"/>
    </row>
    <row r="39" spans="1:10" x14ac:dyDescent="0.15">
      <c r="A39" s="12">
        <f>ROW(A8)-ROW(A$7)</f>
        <v>32</v>
      </c>
      <c r="B39" s="18" t="s">
        <v>1334</v>
      </c>
      <c r="C39" s="18" t="s">
        <v>1335</v>
      </c>
      <c r="D39" s="18" t="s">
        <v>166</v>
      </c>
      <c r="E39" s="19">
        <v>128</v>
      </c>
      <c r="F39" s="14"/>
      <c r="G39" s="12"/>
      <c r="H39" s="12"/>
      <c r="I39" s="29"/>
      <c r="J39" s="29"/>
    </row>
    <row r="40" spans="1:10" x14ac:dyDescent="0.15">
      <c r="A40" s="12">
        <f>ROW(A8)-ROW(A$7)</f>
        <v>33</v>
      </c>
      <c r="B40" s="18" t="s">
        <v>1336</v>
      </c>
      <c r="C40" s="18" t="s">
        <v>1337</v>
      </c>
      <c r="D40" s="18" t="s">
        <v>179</v>
      </c>
      <c r="E40" s="19">
        <v>64</v>
      </c>
      <c r="F40" s="14"/>
      <c r="G40" s="12"/>
      <c r="H40" s="12"/>
      <c r="I40" s="29"/>
      <c r="J40" s="29"/>
    </row>
    <row r="41" spans="1:10" x14ac:dyDescent="0.15">
      <c r="A41" s="12">
        <f>ROW(A8)-ROW(A$7)</f>
        <v>34</v>
      </c>
      <c r="B41" s="18" t="s">
        <v>1338</v>
      </c>
      <c r="C41" s="18" t="s">
        <v>1339</v>
      </c>
      <c r="D41" s="18" t="s">
        <v>669</v>
      </c>
      <c r="E41" s="19">
        <v>2</v>
      </c>
      <c r="F41" s="14"/>
      <c r="G41" s="12"/>
      <c r="H41" s="12"/>
      <c r="I41" s="29"/>
      <c r="J41" s="29"/>
    </row>
    <row r="42" spans="1:10" x14ac:dyDescent="0.15">
      <c r="A42" s="12">
        <f>ROW(A8)-ROW(A$7)</f>
        <v>35</v>
      </c>
      <c r="B42" s="18" t="s">
        <v>682</v>
      </c>
      <c r="C42" s="18" t="s">
        <v>683</v>
      </c>
      <c r="D42" s="18" t="s">
        <v>1091</v>
      </c>
      <c r="E42" s="19">
        <v>9</v>
      </c>
      <c r="F42" s="14"/>
      <c r="G42" s="12"/>
      <c r="H42" s="12"/>
      <c r="I42" s="29"/>
      <c r="J42" s="29"/>
    </row>
    <row r="43" spans="1:10" x14ac:dyDescent="0.15">
      <c r="A43" s="12">
        <f>ROW(A8)-ROW(A$7)</f>
        <v>36</v>
      </c>
      <c r="B43" s="18" t="s">
        <v>680</v>
      </c>
      <c r="C43" s="18" t="s">
        <v>1340</v>
      </c>
      <c r="D43" s="18" t="s">
        <v>1084</v>
      </c>
      <c r="E43" s="19">
        <v>128</v>
      </c>
      <c r="F43" s="14"/>
      <c r="G43" s="12"/>
      <c r="H43" s="12"/>
      <c r="I43" s="29"/>
      <c r="J43" s="29"/>
    </row>
    <row r="44" spans="1:10" x14ac:dyDescent="0.15">
      <c r="A44" s="12">
        <f>ROW(A8)-ROW(A$7)</f>
        <v>37</v>
      </c>
      <c r="B44" s="18" t="s">
        <v>1341</v>
      </c>
      <c r="C44" s="18" t="s">
        <v>1342</v>
      </c>
      <c r="D44" s="18" t="s">
        <v>166</v>
      </c>
      <c r="E44" s="19">
        <v>128</v>
      </c>
      <c r="F44" s="14"/>
      <c r="G44" s="12"/>
      <c r="H44" s="12"/>
      <c r="I44" s="29"/>
      <c r="J44" s="29"/>
    </row>
    <row r="45" spans="1:10" x14ac:dyDescent="0.15">
      <c r="A45" s="12">
        <f>ROW(A8)-ROW(A$7)</f>
        <v>38</v>
      </c>
      <c r="B45" s="18" t="s">
        <v>686</v>
      </c>
      <c r="C45" s="18" t="s">
        <v>1020</v>
      </c>
      <c r="D45" s="18" t="s">
        <v>669</v>
      </c>
      <c r="E45" s="19">
        <v>2</v>
      </c>
      <c r="F45" s="14"/>
      <c r="G45" s="12"/>
      <c r="H45" s="12"/>
      <c r="I45" s="29"/>
      <c r="J45" s="29"/>
    </row>
    <row r="46" spans="1:10" x14ac:dyDescent="0.15">
      <c r="A46" s="12">
        <f>ROW(A8)-ROW(A$7)</f>
        <v>39</v>
      </c>
      <c r="B46" s="18" t="s">
        <v>701</v>
      </c>
      <c r="C46" s="18" t="s">
        <v>1343</v>
      </c>
      <c r="D46" s="18" t="s">
        <v>669</v>
      </c>
      <c r="E46" s="19">
        <v>2</v>
      </c>
      <c r="F46" s="14"/>
      <c r="G46" s="12"/>
      <c r="H46" s="12"/>
      <c r="I46" s="29"/>
      <c r="J46" s="29"/>
    </row>
    <row r="47" spans="1:10" x14ac:dyDescent="0.15">
      <c r="A47" s="12">
        <f>ROW(A8)-ROW(A$7)</f>
        <v>40</v>
      </c>
      <c r="B47" s="18" t="s">
        <v>711</v>
      </c>
      <c r="C47" s="18" t="s">
        <v>1344</v>
      </c>
      <c r="D47" s="18" t="s">
        <v>81</v>
      </c>
      <c r="E47" s="19">
        <v>10</v>
      </c>
      <c r="F47" s="14"/>
      <c r="G47" s="12"/>
      <c r="H47" s="12"/>
      <c r="I47" s="29" t="s">
        <v>188</v>
      </c>
      <c r="J47" s="29"/>
    </row>
    <row r="48" spans="1:10" x14ac:dyDescent="0.15">
      <c r="A48" s="12">
        <f>ROW(A8)-ROW(A$7)</f>
        <v>41</v>
      </c>
      <c r="B48" s="18" t="s">
        <v>1345</v>
      </c>
      <c r="C48" s="18" t="s">
        <v>1346</v>
      </c>
      <c r="D48" s="18" t="s">
        <v>559</v>
      </c>
      <c r="E48" s="19">
        <v>12</v>
      </c>
      <c r="F48" s="14"/>
      <c r="G48" s="12"/>
      <c r="H48" s="12"/>
      <c r="I48" s="29" t="s">
        <v>188</v>
      </c>
      <c r="J48" s="29"/>
    </row>
    <row r="49" spans="1:10" x14ac:dyDescent="0.15">
      <c r="A49" s="12">
        <f>ROW(A8)-ROW(A$7)</f>
        <v>42</v>
      </c>
      <c r="B49" s="18" t="s">
        <v>139</v>
      </c>
      <c r="C49" s="18" t="s">
        <v>321</v>
      </c>
      <c r="D49" s="18" t="s">
        <v>72</v>
      </c>
      <c r="E49" s="19">
        <v>19</v>
      </c>
      <c r="F49" s="14"/>
      <c r="G49" s="12"/>
      <c r="H49" s="12"/>
      <c r="I49" s="29"/>
      <c r="J49" s="29"/>
    </row>
    <row r="50" spans="1:10" x14ac:dyDescent="0.15">
      <c r="A50" s="12">
        <f>ROW(A8)-ROW(A$7)</f>
        <v>43</v>
      </c>
      <c r="B50" s="18" t="s">
        <v>224</v>
      </c>
      <c r="C50" s="18" t="s">
        <v>245</v>
      </c>
      <c r="D50" s="18" t="s">
        <v>179</v>
      </c>
      <c r="E50" s="19">
        <v>64</v>
      </c>
      <c r="F50" s="14"/>
      <c r="G50" s="12"/>
      <c r="H50" s="12"/>
      <c r="I50" s="29"/>
      <c r="J50" s="29"/>
    </row>
    <row r="51" spans="1:10" x14ac:dyDescent="0.15">
      <c r="A51" s="12">
        <f>ROW(A8)-ROW(A$7)</f>
        <v>44</v>
      </c>
      <c r="B51" s="18" t="s">
        <v>1347</v>
      </c>
      <c r="C51" s="18" t="s">
        <v>1348</v>
      </c>
      <c r="D51" s="18" t="s">
        <v>851</v>
      </c>
      <c r="E51" s="19">
        <v>1</v>
      </c>
      <c r="F51" s="14"/>
      <c r="G51" s="12"/>
      <c r="H51" s="12"/>
      <c r="I51" s="29"/>
      <c r="J51" s="29"/>
    </row>
    <row r="52" spans="1:10" x14ac:dyDescent="0.15">
      <c r="A52" s="12">
        <f>ROW(A8)-ROW(A$7)</f>
        <v>45</v>
      </c>
      <c r="B52" s="18"/>
      <c r="C52" s="18"/>
      <c r="D52" s="18"/>
      <c r="E52" s="19"/>
      <c r="F52" s="14"/>
      <c r="G52" s="12"/>
      <c r="H52" s="12"/>
      <c r="I52" s="29"/>
      <c r="J52" s="29"/>
    </row>
    <row r="53" spans="1:10" x14ac:dyDescent="0.15">
      <c r="A53" s="22" t="s">
        <v>6</v>
      </c>
      <c r="B53" s="22" t="s">
        <v>6</v>
      </c>
      <c r="C53" s="22" t="s">
        <v>6</v>
      </c>
      <c r="D53" s="13" t="s">
        <v>6</v>
      </c>
      <c r="E53" s="13" t="s">
        <v>6</v>
      </c>
      <c r="F53" s="13" t="s">
        <v>6</v>
      </c>
      <c r="G53" s="13" t="s">
        <v>6</v>
      </c>
      <c r="H53" s="13" t="s">
        <v>6</v>
      </c>
      <c r="I53" s="13" t="s">
        <v>6</v>
      </c>
      <c r="J53" s="13" t="s">
        <v>6</v>
      </c>
    </row>
    <row r="56" spans="1:10" x14ac:dyDescent="0.15">
      <c r="A56" s="11" t="s">
        <v>0</v>
      </c>
      <c r="B56" s="11" t="s">
        <v>86</v>
      </c>
      <c r="C56" s="11" t="s">
        <v>87</v>
      </c>
      <c r="D56" s="11" t="s">
        <v>88</v>
      </c>
      <c r="E56" s="11" t="s">
        <v>89</v>
      </c>
      <c r="F56" s="11" t="s">
        <v>90</v>
      </c>
      <c r="G56" s="11" t="s">
        <v>91</v>
      </c>
      <c r="H56" s="11" t="s">
        <v>92</v>
      </c>
      <c r="I56" s="11" t="s">
        <v>93</v>
      </c>
      <c r="J56" s="11" t="s">
        <v>69</v>
      </c>
    </row>
    <row r="57" spans="1:10" x14ac:dyDescent="0.15">
      <c r="A57" s="12">
        <f>ROW(A17)-ROW(A$16)</f>
        <v>1</v>
      </c>
      <c r="B57" s="18" t="s">
        <v>127</v>
      </c>
      <c r="C57" s="18" t="s">
        <v>127</v>
      </c>
      <c r="D57" s="18"/>
      <c r="E57" s="18"/>
      <c r="F57" s="18"/>
      <c r="G57" s="18"/>
      <c r="H57" s="18"/>
      <c r="I57" s="20" t="s">
        <v>15</v>
      </c>
      <c r="J57" s="18" t="s">
        <v>96</v>
      </c>
    </row>
    <row r="58" spans="1:10" x14ac:dyDescent="0.15">
      <c r="A58" s="12">
        <f>ROW(A17)-ROW(A$16)</f>
        <v>1</v>
      </c>
      <c r="B58" s="18"/>
      <c r="C58" s="18"/>
      <c r="D58" s="18"/>
      <c r="E58" s="18"/>
      <c r="F58" s="18"/>
      <c r="G58" s="18"/>
      <c r="H58" s="18"/>
      <c r="I58" s="20"/>
      <c r="J58" s="18"/>
    </row>
    <row r="59" spans="1:10" x14ac:dyDescent="0.15">
      <c r="A59" s="22" t="s">
        <v>6</v>
      </c>
      <c r="B59" s="22" t="s">
        <v>6</v>
      </c>
      <c r="C59" s="22" t="s">
        <v>6</v>
      </c>
      <c r="D59" s="13" t="s">
        <v>6</v>
      </c>
      <c r="E59" s="13" t="s">
        <v>6</v>
      </c>
      <c r="F59" s="13" t="s">
        <v>6</v>
      </c>
      <c r="G59" s="13" t="s">
        <v>6</v>
      </c>
      <c r="H59" s="13" t="s">
        <v>6</v>
      </c>
      <c r="I59" s="13" t="s">
        <v>6</v>
      </c>
      <c r="J59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workbookViewId="0"/>
  </sheetViews>
  <sheetFormatPr defaultRowHeight="13.5" x14ac:dyDescent="0.15"/>
  <cols>
    <col min="1" max="1" width="4.875" bestFit="1" customWidth="1"/>
    <col min="2" max="2" width="20.875" bestFit="1" customWidth="1"/>
    <col min="3" max="3" width="12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1349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998</v>
      </c>
      <c r="C9" s="18" t="s">
        <v>1350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1351</v>
      </c>
      <c r="C10" s="18" t="s">
        <v>1352</v>
      </c>
      <c r="D10" s="18" t="s">
        <v>81</v>
      </c>
      <c r="E10" s="19">
        <v>10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1353</v>
      </c>
      <c r="C11" s="18" t="s">
        <v>1354</v>
      </c>
      <c r="D11" s="18" t="s">
        <v>81</v>
      </c>
      <c r="E11" s="19">
        <v>10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1355</v>
      </c>
      <c r="C12" s="18" t="s">
        <v>1356</v>
      </c>
      <c r="D12" s="18" t="s">
        <v>1155</v>
      </c>
      <c r="E12" s="19">
        <v>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/>
      <c r="C13" s="18"/>
      <c r="D13" s="18"/>
      <c r="E13" s="19"/>
      <c r="F13" s="14"/>
      <c r="G13" s="12"/>
      <c r="H13" s="12"/>
      <c r="I13" s="29"/>
      <c r="J13" s="29"/>
    </row>
    <row r="14" spans="1:10" x14ac:dyDescent="0.15">
      <c r="A14" s="22" t="s">
        <v>6</v>
      </c>
      <c r="B14" s="22" t="s">
        <v>6</v>
      </c>
      <c r="C14" s="22" t="s">
        <v>6</v>
      </c>
      <c r="D14" s="13" t="s">
        <v>6</v>
      </c>
      <c r="E14" s="13" t="s">
        <v>6</v>
      </c>
      <c r="F14" s="13" t="s">
        <v>6</v>
      </c>
      <c r="G14" s="13" t="s">
        <v>6</v>
      </c>
      <c r="H14" s="13" t="s">
        <v>6</v>
      </c>
      <c r="I14" s="13" t="s">
        <v>6</v>
      </c>
      <c r="J14" s="13" t="s">
        <v>6</v>
      </c>
    </row>
    <row r="17" spans="1:10" x14ac:dyDescent="0.15">
      <c r="A17" s="11" t="s">
        <v>0</v>
      </c>
      <c r="B17" s="11" t="s">
        <v>86</v>
      </c>
      <c r="C17" s="11" t="s">
        <v>87</v>
      </c>
      <c r="D17" s="11" t="s">
        <v>88</v>
      </c>
      <c r="E17" s="11" t="s">
        <v>89</v>
      </c>
      <c r="F17" s="11" t="s">
        <v>90</v>
      </c>
      <c r="G17" s="11" t="s">
        <v>91</v>
      </c>
      <c r="H17" s="11" t="s">
        <v>92</v>
      </c>
      <c r="I17" s="11" t="s">
        <v>93</v>
      </c>
      <c r="J17" s="11" t="s">
        <v>69</v>
      </c>
    </row>
    <row r="18" spans="1:10" x14ac:dyDescent="0.15">
      <c r="A18" s="12">
        <f>ROW(A17)-ROW(A$16)</f>
        <v>1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22" t="s">
        <v>6</v>
      </c>
      <c r="B19" s="22" t="s">
        <v>6</v>
      </c>
      <c r="C19" s="22" t="s">
        <v>6</v>
      </c>
      <c r="D19" s="13" t="s">
        <v>6</v>
      </c>
      <c r="E19" s="13" t="s">
        <v>6</v>
      </c>
      <c r="F19" s="13" t="s">
        <v>6</v>
      </c>
      <c r="G19" s="13" t="s">
        <v>6</v>
      </c>
      <c r="H19" s="13" t="s">
        <v>6</v>
      </c>
      <c r="I19" s="13" t="s">
        <v>6</v>
      </c>
      <c r="J19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6"/>
  <sheetViews>
    <sheetView workbookViewId="0"/>
  </sheetViews>
  <sheetFormatPr defaultRowHeight="13.5" x14ac:dyDescent="0.15"/>
  <cols>
    <col min="1" max="1" width="4.875" bestFit="1" customWidth="1"/>
    <col min="2" max="2" width="15.875" bestFit="1" customWidth="1"/>
    <col min="3" max="3" width="16.875" bestFit="1" customWidth="1"/>
    <col min="4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1357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664</v>
      </c>
      <c r="C9" s="18" t="s">
        <v>1358</v>
      </c>
      <c r="D9" s="18" t="s">
        <v>72</v>
      </c>
      <c r="E9" s="19">
        <v>19</v>
      </c>
      <c r="F9" s="14"/>
      <c r="G9" s="12"/>
      <c r="H9" s="12"/>
      <c r="I9" s="29" t="s">
        <v>188</v>
      </c>
      <c r="J9" s="29"/>
    </row>
    <row r="10" spans="1:10" x14ac:dyDescent="0.15">
      <c r="A10" s="12">
        <f>ROW(A8)-ROW(A$7)</f>
        <v>3</v>
      </c>
      <c r="B10" s="18"/>
      <c r="C10" s="18"/>
      <c r="D10" s="18"/>
      <c r="E10" s="19"/>
      <c r="F10" s="14"/>
      <c r="G10" s="12"/>
      <c r="H10" s="12"/>
      <c r="I10" s="29"/>
      <c r="J10" s="29"/>
    </row>
    <row r="11" spans="1:10" x14ac:dyDescent="0.15">
      <c r="A11" s="22" t="s">
        <v>6</v>
      </c>
      <c r="B11" s="22" t="s">
        <v>6</v>
      </c>
      <c r="C11" s="22" t="s">
        <v>6</v>
      </c>
      <c r="D11" s="13" t="s">
        <v>6</v>
      </c>
      <c r="E11" s="13" t="s">
        <v>6</v>
      </c>
      <c r="F11" s="13" t="s">
        <v>6</v>
      </c>
      <c r="G11" s="13" t="s">
        <v>6</v>
      </c>
      <c r="H11" s="13" t="s">
        <v>6</v>
      </c>
      <c r="I11" s="13" t="s">
        <v>6</v>
      </c>
      <c r="J11" s="13" t="s">
        <v>6</v>
      </c>
    </row>
    <row r="14" spans="1:10" x14ac:dyDescent="0.15">
      <c r="A14" s="11" t="s">
        <v>0</v>
      </c>
      <c r="B14" s="11" t="s">
        <v>86</v>
      </c>
      <c r="C14" s="11" t="s">
        <v>87</v>
      </c>
      <c r="D14" s="11" t="s">
        <v>88</v>
      </c>
      <c r="E14" s="11" t="s">
        <v>89</v>
      </c>
      <c r="F14" s="11" t="s">
        <v>90</v>
      </c>
      <c r="G14" s="11" t="s">
        <v>91</v>
      </c>
      <c r="H14" s="11" t="s">
        <v>92</v>
      </c>
      <c r="I14" s="11" t="s">
        <v>93</v>
      </c>
      <c r="J14" s="11" t="s">
        <v>69</v>
      </c>
    </row>
    <row r="15" spans="1:10" x14ac:dyDescent="0.15">
      <c r="A15" s="12">
        <f>ROW(A17)-ROW(A$16)</f>
        <v>1</v>
      </c>
      <c r="B15" s="18"/>
      <c r="C15" s="18"/>
      <c r="D15" s="18"/>
      <c r="E15" s="18"/>
      <c r="F15" s="18"/>
      <c r="G15" s="18"/>
      <c r="H15" s="18"/>
      <c r="I15" s="20"/>
      <c r="J15" s="18"/>
    </row>
    <row r="16" spans="1:10" x14ac:dyDescent="0.15">
      <c r="A16" s="22" t="s">
        <v>6</v>
      </c>
      <c r="B16" s="22" t="s">
        <v>6</v>
      </c>
      <c r="C16" s="22" t="s">
        <v>6</v>
      </c>
      <c r="D16" s="13" t="s">
        <v>6</v>
      </c>
      <c r="E16" s="13" t="s">
        <v>6</v>
      </c>
      <c r="F16" s="13" t="s">
        <v>6</v>
      </c>
      <c r="G16" s="13" t="s">
        <v>6</v>
      </c>
      <c r="H16" s="13" t="s">
        <v>6</v>
      </c>
      <c r="I16" s="13" t="s">
        <v>6</v>
      </c>
      <c r="J16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6"/>
  <sheetViews>
    <sheetView workbookViewId="0"/>
  </sheetViews>
  <sheetFormatPr defaultRowHeight="13.5" x14ac:dyDescent="0.15"/>
  <cols>
    <col min="1" max="1" width="4.875" bestFit="1" customWidth="1"/>
    <col min="2" max="2" width="17.875" bestFit="1" customWidth="1"/>
    <col min="3" max="3" width="78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1360</v>
      </c>
      <c r="C1" s="24" t="str">
        <f>INDEX(目录!D:D,MATCH(B1,目录!E:E,0))</f>
        <v>用户信息表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1359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393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1361</v>
      </c>
      <c r="D9" s="18" t="s">
        <v>138</v>
      </c>
      <c r="E9" s="19">
        <v>3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1028</v>
      </c>
      <c r="C10" s="18" t="s">
        <v>1150</v>
      </c>
      <c r="D10" s="18" t="s">
        <v>138</v>
      </c>
      <c r="E10" s="19">
        <v>3</v>
      </c>
      <c r="F10" s="14"/>
      <c r="G10" s="12"/>
      <c r="H10" s="12"/>
      <c r="I10" s="29" t="s">
        <v>188</v>
      </c>
      <c r="J10" s="29"/>
    </row>
    <row r="11" spans="1:10" x14ac:dyDescent="0.15">
      <c r="A11" s="12">
        <f>ROW(A8)-ROW(A$7)</f>
        <v>4</v>
      </c>
      <c r="B11" s="18" t="s">
        <v>1252</v>
      </c>
      <c r="C11" s="18" t="s">
        <v>1362</v>
      </c>
      <c r="D11" s="18" t="s">
        <v>124</v>
      </c>
      <c r="E11" s="19">
        <v>500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1363</v>
      </c>
      <c r="C12" s="18" t="s">
        <v>1364</v>
      </c>
      <c r="D12" s="18" t="s">
        <v>166</v>
      </c>
      <c r="E12" s="19">
        <v>128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1156</v>
      </c>
      <c r="C13" s="18" t="s">
        <v>1156</v>
      </c>
      <c r="D13" s="18" t="s">
        <v>179</v>
      </c>
      <c r="E13" s="19">
        <v>64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616</v>
      </c>
      <c r="C14" s="18" t="s">
        <v>1365</v>
      </c>
      <c r="D14" s="18" t="s">
        <v>617</v>
      </c>
      <c r="E14" s="19">
        <v>29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615</v>
      </c>
      <c r="C15" s="18" t="s">
        <v>823</v>
      </c>
      <c r="D15" s="18" t="s">
        <v>75</v>
      </c>
      <c r="E15" s="19">
        <v>255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537</v>
      </c>
      <c r="C16" s="18" t="s">
        <v>1366</v>
      </c>
      <c r="D16" s="18" t="s">
        <v>75</v>
      </c>
      <c r="E16" s="19">
        <v>255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1153</v>
      </c>
      <c r="C17" s="18" t="s">
        <v>1154</v>
      </c>
      <c r="D17" s="18" t="s">
        <v>1155</v>
      </c>
      <c r="E17" s="19">
        <v>8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485</v>
      </c>
      <c r="C18" s="18" t="s">
        <v>532</v>
      </c>
      <c r="D18" s="18" t="s">
        <v>163</v>
      </c>
      <c r="E18" s="19">
        <v>16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239</v>
      </c>
      <c r="C19" s="18" t="s">
        <v>484</v>
      </c>
      <c r="D19" s="18" t="s">
        <v>166</v>
      </c>
      <c r="E19" s="19">
        <v>128</v>
      </c>
      <c r="F19" s="14"/>
      <c r="G19" s="12"/>
      <c r="H19" s="12"/>
      <c r="I19" s="29"/>
      <c r="J19" s="29"/>
    </row>
    <row r="20" spans="1:10" x14ac:dyDescent="0.15">
      <c r="A20" s="12">
        <f>ROW(A8)-ROW(A$7)</f>
        <v>13</v>
      </c>
      <c r="B20" s="18" t="s">
        <v>1367</v>
      </c>
      <c r="C20" s="18" t="s">
        <v>1368</v>
      </c>
      <c r="D20" s="18" t="s">
        <v>179</v>
      </c>
      <c r="E20" s="19">
        <v>64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1013</v>
      </c>
      <c r="C21" s="18" t="s">
        <v>1369</v>
      </c>
      <c r="D21" s="18" t="s">
        <v>98</v>
      </c>
      <c r="E21" s="19">
        <v>36</v>
      </c>
      <c r="F21" s="14"/>
      <c r="G21" s="12"/>
      <c r="H21" s="12"/>
      <c r="I21" s="29"/>
      <c r="J21" s="29"/>
    </row>
    <row r="22" spans="1:10" x14ac:dyDescent="0.15">
      <c r="A22" s="12">
        <f>ROW(A8)-ROW(A$7)</f>
        <v>15</v>
      </c>
      <c r="B22" s="18" t="s">
        <v>1370</v>
      </c>
      <c r="C22" s="18" t="s">
        <v>1371</v>
      </c>
      <c r="D22" s="18" t="s">
        <v>206</v>
      </c>
      <c r="E22" s="19">
        <v>32</v>
      </c>
      <c r="F22" s="14"/>
      <c r="G22" s="12"/>
      <c r="H22" s="12"/>
      <c r="I22" s="29"/>
      <c r="J22" s="29"/>
    </row>
    <row r="23" spans="1:10" x14ac:dyDescent="0.15">
      <c r="A23" s="12">
        <f>ROW(A8)-ROW(A$7)</f>
        <v>16</v>
      </c>
      <c r="B23" s="18" t="s">
        <v>1372</v>
      </c>
      <c r="C23" s="18" t="s">
        <v>1373</v>
      </c>
      <c r="D23" s="18" t="s">
        <v>206</v>
      </c>
      <c r="E23" s="19">
        <v>32</v>
      </c>
      <c r="F23" s="14"/>
      <c r="G23" s="12"/>
      <c r="H23" s="12"/>
      <c r="I23" s="29"/>
      <c r="J23" s="29"/>
    </row>
    <row r="24" spans="1:10" x14ac:dyDescent="0.15">
      <c r="A24" s="12">
        <f>ROW(A8)-ROW(A$7)</f>
        <v>17</v>
      </c>
      <c r="B24" s="18" t="s">
        <v>216</v>
      </c>
      <c r="C24" s="18" t="s">
        <v>1374</v>
      </c>
      <c r="D24" s="18" t="s">
        <v>400</v>
      </c>
      <c r="E24" s="19">
        <v>1024</v>
      </c>
      <c r="F24" s="14"/>
      <c r="G24" s="12"/>
      <c r="H24" s="12"/>
      <c r="I24" s="29"/>
      <c r="J24" s="29"/>
    </row>
    <row r="25" spans="1:10" x14ac:dyDescent="0.15">
      <c r="A25" s="12">
        <f>ROW(A8)-ROW(A$7)</f>
        <v>18</v>
      </c>
      <c r="B25" s="18" t="s">
        <v>784</v>
      </c>
      <c r="C25" s="18" t="s">
        <v>1375</v>
      </c>
      <c r="D25" s="18" t="s">
        <v>81</v>
      </c>
      <c r="E25" s="19">
        <v>10</v>
      </c>
      <c r="F25" s="14"/>
      <c r="G25" s="12"/>
      <c r="H25" s="12" t="s">
        <v>15</v>
      </c>
      <c r="I25" s="29" t="s">
        <v>188</v>
      </c>
      <c r="J25" s="29"/>
    </row>
    <row r="26" spans="1:10" x14ac:dyDescent="0.15">
      <c r="A26" s="12">
        <f>ROW(A8)-ROW(A$7)</f>
        <v>19</v>
      </c>
      <c r="B26" s="18" t="s">
        <v>1376</v>
      </c>
      <c r="C26" s="18" t="s">
        <v>1377</v>
      </c>
      <c r="D26" s="18" t="s">
        <v>179</v>
      </c>
      <c r="E26" s="19">
        <v>64</v>
      </c>
      <c r="F26" s="14"/>
      <c r="G26" s="12"/>
      <c r="H26" s="12"/>
      <c r="I26" s="29"/>
      <c r="J26" s="29"/>
    </row>
    <row r="27" spans="1:10" x14ac:dyDescent="0.15">
      <c r="A27" s="12">
        <f>ROW(A8)-ROW(A$7)</f>
        <v>20</v>
      </c>
      <c r="B27" s="18" t="s">
        <v>343</v>
      </c>
      <c r="C27" s="18" t="s">
        <v>1378</v>
      </c>
      <c r="D27" s="18" t="s">
        <v>345</v>
      </c>
      <c r="E27" s="19">
        <v>10</v>
      </c>
      <c r="F27" s="14"/>
      <c r="G27" s="12"/>
      <c r="H27" s="12" t="s">
        <v>15</v>
      </c>
      <c r="I27" s="29" t="s">
        <v>1034</v>
      </c>
      <c r="J27" s="29"/>
    </row>
    <row r="28" spans="1:10" x14ac:dyDescent="0.15">
      <c r="A28" s="12">
        <f>ROW(A8)-ROW(A$7)</f>
        <v>21</v>
      </c>
      <c r="B28" s="18" t="s">
        <v>1379</v>
      </c>
      <c r="C28" s="18" t="s">
        <v>1380</v>
      </c>
      <c r="D28" s="18" t="s">
        <v>138</v>
      </c>
      <c r="E28" s="19">
        <v>3</v>
      </c>
      <c r="F28" s="14"/>
      <c r="G28" s="12"/>
      <c r="H28" s="12" t="s">
        <v>15</v>
      </c>
      <c r="I28" s="29" t="s">
        <v>188</v>
      </c>
      <c r="J28" s="29"/>
    </row>
    <row r="29" spans="1:10" x14ac:dyDescent="0.15">
      <c r="A29" s="12">
        <f>ROW(A8)-ROW(A$7)</f>
        <v>22</v>
      </c>
      <c r="B29" s="18" t="s">
        <v>1116</v>
      </c>
      <c r="C29" s="18" t="s">
        <v>1152</v>
      </c>
      <c r="D29" s="18" t="s">
        <v>81</v>
      </c>
      <c r="E29" s="19">
        <v>10</v>
      </c>
      <c r="F29" s="14"/>
      <c r="G29" s="12"/>
      <c r="H29" s="12" t="s">
        <v>15</v>
      </c>
      <c r="I29" s="29" t="s">
        <v>188</v>
      </c>
      <c r="J29" s="29"/>
    </row>
    <row r="30" spans="1:10" x14ac:dyDescent="0.15">
      <c r="A30" s="12">
        <f>ROW(A8)-ROW(A$7)</f>
        <v>23</v>
      </c>
      <c r="B30" s="18" t="s">
        <v>1381</v>
      </c>
      <c r="C30" s="18" t="s">
        <v>1382</v>
      </c>
      <c r="D30" s="18" t="s">
        <v>81</v>
      </c>
      <c r="E30" s="19">
        <v>10</v>
      </c>
      <c r="F30" s="14"/>
      <c r="G30" s="12"/>
      <c r="H30" s="12" t="s">
        <v>15</v>
      </c>
      <c r="I30" s="29" t="s">
        <v>188</v>
      </c>
      <c r="J30" s="29"/>
    </row>
    <row r="31" spans="1:10" x14ac:dyDescent="0.15">
      <c r="A31" s="12">
        <f>ROW(A8)-ROW(A$7)</f>
        <v>24</v>
      </c>
      <c r="B31" s="18" t="s">
        <v>139</v>
      </c>
      <c r="C31" s="18" t="s">
        <v>321</v>
      </c>
      <c r="D31" s="18" t="s">
        <v>72</v>
      </c>
      <c r="E31" s="19">
        <v>19</v>
      </c>
      <c r="F31" s="14"/>
      <c r="G31" s="12"/>
      <c r="H31" s="12"/>
      <c r="I31" s="29"/>
      <c r="J31" s="29"/>
    </row>
    <row r="32" spans="1:10" x14ac:dyDescent="0.15">
      <c r="A32" s="12">
        <f>ROW(A8)-ROW(A$7)</f>
        <v>25</v>
      </c>
      <c r="B32" s="18" t="s">
        <v>1383</v>
      </c>
      <c r="C32" s="18" t="s">
        <v>1384</v>
      </c>
      <c r="D32" s="18" t="s">
        <v>72</v>
      </c>
      <c r="E32" s="19">
        <v>19</v>
      </c>
      <c r="F32" s="14"/>
      <c r="G32" s="12"/>
      <c r="H32" s="12"/>
      <c r="I32" s="29"/>
      <c r="J32" s="29"/>
    </row>
    <row r="33" spans="1:10" x14ac:dyDescent="0.15">
      <c r="A33" s="12">
        <f>ROW(A8)-ROW(A$7)</f>
        <v>26</v>
      </c>
      <c r="B33" s="18" t="s">
        <v>711</v>
      </c>
      <c r="C33" s="18" t="s">
        <v>1344</v>
      </c>
      <c r="D33" s="18" t="s">
        <v>81</v>
      </c>
      <c r="E33" s="19">
        <v>10</v>
      </c>
      <c r="F33" s="14"/>
      <c r="G33" s="12"/>
      <c r="H33" s="12" t="s">
        <v>15</v>
      </c>
      <c r="I33" s="29" t="s">
        <v>188</v>
      </c>
      <c r="J33" s="29"/>
    </row>
    <row r="34" spans="1:10" x14ac:dyDescent="0.15">
      <c r="A34" s="12">
        <f>ROW(A8)-ROW(A$7)</f>
        <v>27</v>
      </c>
      <c r="B34" s="18" t="s">
        <v>1035</v>
      </c>
      <c r="C34" s="18" t="s">
        <v>1385</v>
      </c>
      <c r="D34" s="18" t="s">
        <v>138</v>
      </c>
      <c r="E34" s="19">
        <v>3</v>
      </c>
      <c r="F34" s="14"/>
      <c r="G34" s="12"/>
      <c r="H34" s="12" t="s">
        <v>15</v>
      </c>
      <c r="I34" s="29" t="s">
        <v>188</v>
      </c>
      <c r="J34" s="29"/>
    </row>
    <row r="35" spans="1:10" x14ac:dyDescent="0.15">
      <c r="A35" s="12">
        <f>ROW(A8)-ROW(A$7)</f>
        <v>28</v>
      </c>
      <c r="B35" s="18" t="s">
        <v>733</v>
      </c>
      <c r="C35" s="18" t="s">
        <v>1386</v>
      </c>
      <c r="D35" s="18" t="s">
        <v>735</v>
      </c>
      <c r="E35" s="19">
        <v>19</v>
      </c>
      <c r="F35" s="14"/>
      <c r="G35" s="12"/>
      <c r="H35" s="12"/>
      <c r="I35" s="29"/>
      <c r="J35" s="29"/>
    </row>
    <row r="36" spans="1:10" x14ac:dyDescent="0.15">
      <c r="A36" s="12">
        <f>ROW(A8)-ROW(A$7)</f>
        <v>29</v>
      </c>
      <c r="B36" s="18" t="s">
        <v>1157</v>
      </c>
      <c r="C36" s="18" t="s">
        <v>1387</v>
      </c>
      <c r="D36" s="18" t="s">
        <v>559</v>
      </c>
      <c r="E36" s="19">
        <v>8</v>
      </c>
      <c r="F36" s="14">
        <v>2</v>
      </c>
      <c r="G36" s="12"/>
      <c r="H36" s="12"/>
      <c r="I36" s="29" t="s">
        <v>949</v>
      </c>
      <c r="J36" s="29"/>
    </row>
    <row r="37" spans="1:10" x14ac:dyDescent="0.15">
      <c r="A37" s="12">
        <f>ROW(A8)-ROW(A$7)</f>
        <v>30</v>
      </c>
      <c r="B37" s="18"/>
      <c r="C37" s="18"/>
      <c r="D37" s="18"/>
      <c r="E37" s="19"/>
      <c r="F37" s="14"/>
      <c r="G37" s="12"/>
      <c r="H37" s="12"/>
      <c r="I37" s="29"/>
      <c r="J37" s="29"/>
    </row>
    <row r="38" spans="1:10" x14ac:dyDescent="0.15">
      <c r="A38" s="22" t="s">
        <v>6</v>
      </c>
      <c r="B38" s="22" t="s">
        <v>6</v>
      </c>
      <c r="C38" s="22" t="s">
        <v>6</v>
      </c>
      <c r="D38" s="13" t="s">
        <v>6</v>
      </c>
      <c r="E38" s="13" t="s">
        <v>6</v>
      </c>
      <c r="F38" s="13" t="s">
        <v>6</v>
      </c>
      <c r="G38" s="13" t="s">
        <v>6</v>
      </c>
      <c r="H38" s="13" t="s">
        <v>6</v>
      </c>
      <c r="I38" s="13" t="s">
        <v>6</v>
      </c>
      <c r="J38" s="13" t="s">
        <v>6</v>
      </c>
    </row>
    <row r="41" spans="1:10" x14ac:dyDescent="0.15">
      <c r="A41" s="11" t="s">
        <v>0</v>
      </c>
      <c r="B41" s="11" t="s">
        <v>86</v>
      </c>
      <c r="C41" s="11" t="s">
        <v>87</v>
      </c>
      <c r="D41" s="11" t="s">
        <v>88</v>
      </c>
      <c r="E41" s="11" t="s">
        <v>89</v>
      </c>
      <c r="F41" s="11" t="s">
        <v>90</v>
      </c>
      <c r="G41" s="11" t="s">
        <v>91</v>
      </c>
      <c r="H41" s="11" t="s">
        <v>92</v>
      </c>
      <c r="I41" s="11" t="s">
        <v>93</v>
      </c>
      <c r="J41" s="11" t="s">
        <v>69</v>
      </c>
    </row>
    <row r="42" spans="1:10" x14ac:dyDescent="0.15">
      <c r="A42" s="12">
        <f>ROW(A17)-ROW(A$16)</f>
        <v>1</v>
      </c>
      <c r="B42" s="18" t="s">
        <v>485</v>
      </c>
      <c r="C42" s="18" t="s">
        <v>485</v>
      </c>
      <c r="D42" s="18"/>
      <c r="E42" s="18"/>
      <c r="F42" s="18"/>
      <c r="G42" s="18"/>
      <c r="H42" s="18"/>
      <c r="I42" s="20" t="s">
        <v>15</v>
      </c>
      <c r="J42" s="18" t="s">
        <v>96</v>
      </c>
    </row>
    <row r="43" spans="1:10" x14ac:dyDescent="0.15">
      <c r="A43" s="12">
        <f>ROW(A17)-ROW(A$16)</f>
        <v>2</v>
      </c>
      <c r="B43" s="18" t="s">
        <v>1156</v>
      </c>
      <c r="C43" s="18" t="s">
        <v>1156</v>
      </c>
      <c r="D43" s="18"/>
      <c r="E43" s="18"/>
      <c r="F43" s="18"/>
      <c r="G43" s="18"/>
      <c r="H43" s="18"/>
      <c r="I43" s="20" t="s">
        <v>95</v>
      </c>
      <c r="J43" s="18" t="s">
        <v>96</v>
      </c>
    </row>
    <row r="44" spans="1:10" x14ac:dyDescent="0.15">
      <c r="A44" s="12">
        <f>ROW(A17)-ROW(A$16)</f>
        <v>3</v>
      </c>
      <c r="B44" s="18" t="s">
        <v>616</v>
      </c>
      <c r="C44" s="18" t="s">
        <v>616</v>
      </c>
      <c r="D44" s="18"/>
      <c r="E44" s="18"/>
      <c r="F44" s="18"/>
      <c r="G44" s="18"/>
      <c r="H44" s="18"/>
      <c r="I44" s="20" t="s">
        <v>15</v>
      </c>
      <c r="J44" s="18" t="s">
        <v>96</v>
      </c>
    </row>
    <row r="45" spans="1:10" x14ac:dyDescent="0.15">
      <c r="A45" s="12">
        <f>ROW(A17)-ROW(A$16)</f>
        <v>1</v>
      </c>
      <c r="B45" s="18"/>
      <c r="C45" s="18"/>
      <c r="D45" s="18"/>
      <c r="E45" s="18"/>
      <c r="F45" s="18"/>
      <c r="G45" s="18"/>
      <c r="H45" s="18"/>
      <c r="I45" s="20"/>
      <c r="J45" s="18"/>
    </row>
    <row r="46" spans="1:10" x14ac:dyDescent="0.15">
      <c r="A46" s="22" t="s">
        <v>6</v>
      </c>
      <c r="B46" s="22" t="s">
        <v>6</v>
      </c>
      <c r="C46" s="22" t="s">
        <v>6</v>
      </c>
      <c r="D46" s="13" t="s">
        <v>6</v>
      </c>
      <c r="E46" s="13" t="s">
        <v>6</v>
      </c>
      <c r="F46" s="13" t="s">
        <v>6</v>
      </c>
      <c r="G46" s="13" t="s">
        <v>6</v>
      </c>
      <c r="H46" s="13" t="s">
        <v>6</v>
      </c>
      <c r="I46" s="13" t="s">
        <v>6</v>
      </c>
      <c r="J46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3.5" x14ac:dyDescent="0.15"/>
  <cols>
    <col min="1" max="1" width="4.875" bestFit="1" customWidth="1"/>
    <col min="2" max="2" width="14.875" bestFit="1" customWidth="1"/>
    <col min="3" max="3" width="10.875" bestFit="1" customWidth="1"/>
    <col min="4" max="4" width="11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1389</v>
      </c>
      <c r="C1" s="24" t="str">
        <f>INDEX(目录!D:D,MATCH(B1,目录!E:E,0))</f>
        <v>评选详情表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1388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1390</v>
      </c>
      <c r="D9" s="18" t="s">
        <v>163</v>
      </c>
      <c r="E9" s="19">
        <v>16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1266</v>
      </c>
      <c r="C10" s="18" t="s">
        <v>1391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1392</v>
      </c>
      <c r="C11" s="18" t="s">
        <v>1393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1394</v>
      </c>
      <c r="C12" s="18" t="s">
        <v>1395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139</v>
      </c>
      <c r="C13" s="18" t="s">
        <v>1396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/>
      <c r="C14" s="18"/>
      <c r="D14" s="18"/>
      <c r="E14" s="19"/>
      <c r="F14" s="14"/>
      <c r="G14" s="12"/>
      <c r="H14" s="12"/>
      <c r="I14" s="29"/>
      <c r="J14" s="29"/>
    </row>
    <row r="15" spans="1:10" x14ac:dyDescent="0.15">
      <c r="A15" s="22" t="s">
        <v>6</v>
      </c>
      <c r="B15" s="22" t="s">
        <v>6</v>
      </c>
      <c r="C15" s="22" t="s">
        <v>6</v>
      </c>
      <c r="D15" s="13" t="s">
        <v>6</v>
      </c>
      <c r="E15" s="13" t="s">
        <v>6</v>
      </c>
      <c r="F15" s="13" t="s">
        <v>6</v>
      </c>
      <c r="G15" s="13" t="s">
        <v>6</v>
      </c>
      <c r="H15" s="13" t="s">
        <v>6</v>
      </c>
      <c r="I15" s="13" t="s">
        <v>6</v>
      </c>
      <c r="J15" s="13" t="s">
        <v>6</v>
      </c>
    </row>
    <row r="18" spans="1:10" x14ac:dyDescent="0.15">
      <c r="A18" s="11" t="s">
        <v>0</v>
      </c>
      <c r="B18" s="11" t="s">
        <v>86</v>
      </c>
      <c r="C18" s="11" t="s">
        <v>87</v>
      </c>
      <c r="D18" s="11" t="s">
        <v>88</v>
      </c>
      <c r="E18" s="11" t="s">
        <v>89</v>
      </c>
      <c r="F18" s="11" t="s">
        <v>90</v>
      </c>
      <c r="G18" s="11" t="s">
        <v>91</v>
      </c>
      <c r="H18" s="11" t="s">
        <v>92</v>
      </c>
      <c r="I18" s="11" t="s">
        <v>93</v>
      </c>
      <c r="J18" s="11" t="s">
        <v>69</v>
      </c>
    </row>
    <row r="19" spans="1:10" x14ac:dyDescent="0.15">
      <c r="A19" s="12">
        <f>ROW(A17)-ROW(A$16)</f>
        <v>1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/>
  </sheetViews>
  <sheetFormatPr defaultRowHeight="13.5" x14ac:dyDescent="0.15"/>
  <cols>
    <col min="1" max="1" width="4.875" bestFit="1" customWidth="1"/>
    <col min="2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1398</v>
      </c>
      <c r="C1" s="24" t="str">
        <f>INDEX(目录!D:D,MATCH(B1,目录!E:E,0))</f>
        <v>志愿评选表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1397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1394</v>
      </c>
      <c r="C9" s="18" t="s">
        <v>1395</v>
      </c>
      <c r="D9" s="18" t="s">
        <v>72</v>
      </c>
      <c r="E9" s="19">
        <v>19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328</v>
      </c>
      <c r="C10" s="18" t="s">
        <v>1390</v>
      </c>
      <c r="D10" s="18" t="s">
        <v>163</v>
      </c>
      <c r="E10" s="19">
        <v>16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1266</v>
      </c>
      <c r="C11" s="18" t="s">
        <v>1391</v>
      </c>
      <c r="D11" s="18" t="s">
        <v>72</v>
      </c>
      <c r="E11" s="19">
        <v>19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280</v>
      </c>
      <c r="C12" s="18" t="s">
        <v>1399</v>
      </c>
      <c r="D12" s="18" t="s">
        <v>1400</v>
      </c>
      <c r="E12" s="19">
        <v>265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1401</v>
      </c>
      <c r="C13" s="18" t="s">
        <v>1402</v>
      </c>
      <c r="D13" s="18" t="s">
        <v>1320</v>
      </c>
      <c r="E13" s="19">
        <v>11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453</v>
      </c>
      <c r="C14" s="18" t="s">
        <v>74</v>
      </c>
      <c r="D14" s="18" t="s">
        <v>179</v>
      </c>
      <c r="E14" s="19">
        <v>64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1403</v>
      </c>
      <c r="C15" s="18" t="s">
        <v>1404</v>
      </c>
      <c r="D15" s="18" t="s">
        <v>179</v>
      </c>
      <c r="E15" s="19">
        <v>64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1405</v>
      </c>
      <c r="C16" s="18" t="s">
        <v>1406</v>
      </c>
      <c r="D16" s="18" t="s">
        <v>78</v>
      </c>
      <c r="E16" s="19">
        <v>65535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1407</v>
      </c>
      <c r="C17" s="18" t="s">
        <v>1408</v>
      </c>
      <c r="D17" s="18" t="s">
        <v>81</v>
      </c>
      <c r="E17" s="19">
        <v>10</v>
      </c>
      <c r="F17" s="14"/>
      <c r="G17" s="12"/>
      <c r="H17" s="12"/>
      <c r="I17" s="29" t="s">
        <v>188</v>
      </c>
      <c r="J17" s="29"/>
    </row>
    <row r="18" spans="1:10" x14ac:dyDescent="0.15">
      <c r="A18" s="12">
        <f>ROW(A8)-ROW(A$7)</f>
        <v>11</v>
      </c>
      <c r="B18" s="18" t="s">
        <v>664</v>
      </c>
      <c r="C18" s="18" t="s">
        <v>664</v>
      </c>
      <c r="D18" s="18" t="s">
        <v>81</v>
      </c>
      <c r="E18" s="19">
        <v>10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/>
      <c r="C19" s="18"/>
      <c r="D19" s="18"/>
      <c r="E19" s="19"/>
      <c r="F19" s="14"/>
      <c r="G19" s="12"/>
      <c r="H19" s="12"/>
      <c r="I19" s="29"/>
      <c r="J19" s="29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  <row r="23" spans="1:10" x14ac:dyDescent="0.15">
      <c r="A23" s="11" t="s">
        <v>0</v>
      </c>
      <c r="B23" s="11" t="s">
        <v>86</v>
      </c>
      <c r="C23" s="11" t="s">
        <v>87</v>
      </c>
      <c r="D23" s="11" t="s">
        <v>88</v>
      </c>
      <c r="E23" s="11" t="s">
        <v>89</v>
      </c>
      <c r="F23" s="11" t="s">
        <v>90</v>
      </c>
      <c r="G23" s="11" t="s">
        <v>91</v>
      </c>
      <c r="H23" s="11" t="s">
        <v>92</v>
      </c>
      <c r="I23" s="11" t="s">
        <v>93</v>
      </c>
      <c r="J23" s="11" t="s">
        <v>69</v>
      </c>
    </row>
    <row r="24" spans="1:10" x14ac:dyDescent="0.15">
      <c r="A24" s="12">
        <f>ROW(A17)-ROW(A$16)</f>
        <v>1</v>
      </c>
      <c r="B24" s="18"/>
      <c r="C24" s="18"/>
      <c r="D24" s="18"/>
      <c r="E24" s="18"/>
      <c r="F24" s="18"/>
      <c r="G24" s="18"/>
      <c r="H24" s="18"/>
      <c r="I24" s="20"/>
      <c r="J24" s="18"/>
    </row>
    <row r="25" spans="1:10" x14ac:dyDescent="0.15">
      <c r="A25" s="22" t="s">
        <v>6</v>
      </c>
      <c r="B25" s="22" t="s">
        <v>6</v>
      </c>
      <c r="C25" s="22" t="s">
        <v>6</v>
      </c>
      <c r="D25" s="13" t="s">
        <v>6</v>
      </c>
      <c r="E25" s="13" t="s">
        <v>6</v>
      </c>
      <c r="F25" s="13" t="s">
        <v>6</v>
      </c>
      <c r="G25" s="13" t="s">
        <v>6</v>
      </c>
      <c r="H25" s="13" t="s">
        <v>6</v>
      </c>
      <c r="I25" s="13" t="s">
        <v>6</v>
      </c>
      <c r="J25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/>
  </sheetViews>
  <sheetFormatPr defaultRowHeight="13.5" x14ac:dyDescent="0.15"/>
  <cols>
    <col min="1" max="1" width="4.875" bestFit="1" customWidth="1"/>
    <col min="2" max="3" width="15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1410</v>
      </c>
      <c r="C1" s="24" t="str">
        <f>INDEX(目录!D:D,MATCH(B1,目录!E:E,0))</f>
        <v>志愿投票主题表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1409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328</v>
      </c>
      <c r="C9" s="18" t="s">
        <v>1390</v>
      </c>
      <c r="D9" s="18" t="s">
        <v>163</v>
      </c>
      <c r="E9" s="19">
        <v>16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232</v>
      </c>
      <c r="C10" s="18" t="s">
        <v>1411</v>
      </c>
      <c r="D10" s="18" t="s">
        <v>179</v>
      </c>
      <c r="E10" s="19">
        <v>64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234</v>
      </c>
      <c r="C11" s="18" t="s">
        <v>1412</v>
      </c>
      <c r="D11" s="18" t="s">
        <v>78</v>
      </c>
      <c r="E11" s="19">
        <v>65535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280</v>
      </c>
      <c r="C12" s="18" t="s">
        <v>1413</v>
      </c>
      <c r="D12" s="18" t="s">
        <v>250</v>
      </c>
      <c r="E12" s="19">
        <v>256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354</v>
      </c>
      <c r="C13" s="18" t="s">
        <v>1414</v>
      </c>
      <c r="D13" s="18" t="s">
        <v>72</v>
      </c>
      <c r="E13" s="19">
        <v>19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184</v>
      </c>
      <c r="C14" s="18" t="s">
        <v>1415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1416</v>
      </c>
      <c r="C15" s="18" t="s">
        <v>1417</v>
      </c>
      <c r="D15" s="18" t="s">
        <v>81</v>
      </c>
      <c r="E15" s="19">
        <v>10</v>
      </c>
      <c r="F15" s="14"/>
      <c r="G15" s="12"/>
      <c r="H15" s="12"/>
      <c r="I15" s="29" t="s">
        <v>188</v>
      </c>
      <c r="J15" s="29"/>
    </row>
    <row r="16" spans="1:10" x14ac:dyDescent="0.15">
      <c r="A16" s="12">
        <f>ROW(A8)-ROW(A$7)</f>
        <v>9</v>
      </c>
      <c r="B16" s="18" t="s">
        <v>1418</v>
      </c>
      <c r="C16" s="18" t="s">
        <v>1419</v>
      </c>
      <c r="D16" s="18" t="s">
        <v>81</v>
      </c>
      <c r="E16" s="19">
        <v>10</v>
      </c>
      <c r="F16" s="14"/>
      <c r="G16" s="12"/>
      <c r="H16" s="12"/>
      <c r="I16" s="29" t="s">
        <v>188</v>
      </c>
      <c r="J16" s="29"/>
    </row>
    <row r="17" spans="1:10" x14ac:dyDescent="0.15">
      <c r="A17" s="12">
        <f>ROW(A8)-ROW(A$7)</f>
        <v>10</v>
      </c>
      <c r="B17" s="18" t="s">
        <v>139</v>
      </c>
      <c r="C17" s="18" t="s">
        <v>321</v>
      </c>
      <c r="D17" s="18" t="s">
        <v>72</v>
      </c>
      <c r="E17" s="19">
        <v>19</v>
      </c>
      <c r="F17" s="14"/>
      <c r="G17" s="12"/>
      <c r="H17" s="12"/>
      <c r="I17" s="29"/>
      <c r="J17" s="29"/>
    </row>
    <row r="18" spans="1:10" x14ac:dyDescent="0.15">
      <c r="A18" s="12">
        <f>ROW(A8)-ROW(A$7)</f>
        <v>11</v>
      </c>
      <c r="B18" s="18" t="s">
        <v>189</v>
      </c>
      <c r="C18" s="18" t="s">
        <v>190</v>
      </c>
      <c r="D18" s="18" t="s">
        <v>81</v>
      </c>
      <c r="E18" s="19">
        <v>10</v>
      </c>
      <c r="F18" s="14"/>
      <c r="G18" s="12"/>
      <c r="H18" s="12"/>
      <c r="I18" s="29" t="s">
        <v>188</v>
      </c>
      <c r="J18" s="29"/>
    </row>
    <row r="19" spans="1:10" x14ac:dyDescent="0.15">
      <c r="A19" s="12">
        <f>ROW(A8)-ROW(A$7)</f>
        <v>12</v>
      </c>
      <c r="B19" s="18"/>
      <c r="C19" s="18"/>
      <c r="D19" s="18"/>
      <c r="E19" s="19"/>
      <c r="F19" s="14"/>
      <c r="G19" s="12"/>
      <c r="H19" s="12"/>
      <c r="I19" s="29"/>
      <c r="J19" s="29"/>
    </row>
    <row r="20" spans="1:10" x14ac:dyDescent="0.15">
      <c r="A20" s="22" t="s">
        <v>6</v>
      </c>
      <c r="B20" s="22" t="s">
        <v>6</v>
      </c>
      <c r="C20" s="22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</row>
    <row r="23" spans="1:10" x14ac:dyDescent="0.15">
      <c r="A23" s="11" t="s">
        <v>0</v>
      </c>
      <c r="B23" s="11" t="s">
        <v>86</v>
      </c>
      <c r="C23" s="11" t="s">
        <v>87</v>
      </c>
      <c r="D23" s="11" t="s">
        <v>88</v>
      </c>
      <c r="E23" s="11" t="s">
        <v>89</v>
      </c>
      <c r="F23" s="11" t="s">
        <v>90</v>
      </c>
      <c r="G23" s="11" t="s">
        <v>91</v>
      </c>
      <c r="H23" s="11" t="s">
        <v>92</v>
      </c>
      <c r="I23" s="11" t="s">
        <v>93</v>
      </c>
      <c r="J23" s="11" t="s">
        <v>69</v>
      </c>
    </row>
    <row r="24" spans="1:10" x14ac:dyDescent="0.15">
      <c r="A24" s="12">
        <f>ROW(A17)-ROW(A$16)</f>
        <v>1</v>
      </c>
      <c r="B24" s="18"/>
      <c r="C24" s="18"/>
      <c r="D24" s="18"/>
      <c r="E24" s="18"/>
      <c r="F24" s="18"/>
      <c r="G24" s="18"/>
      <c r="H24" s="18"/>
      <c r="I24" s="20"/>
      <c r="J24" s="18"/>
    </row>
    <row r="25" spans="1:10" x14ac:dyDescent="0.15">
      <c r="A25" s="22" t="s">
        <v>6</v>
      </c>
      <c r="B25" s="22" t="s">
        <v>6</v>
      </c>
      <c r="C25" s="22" t="s">
        <v>6</v>
      </c>
      <c r="D25" s="13" t="s">
        <v>6</v>
      </c>
      <c r="E25" s="13" t="s">
        <v>6</v>
      </c>
      <c r="F25" s="13" t="s">
        <v>6</v>
      </c>
      <c r="G25" s="13" t="s">
        <v>6</v>
      </c>
      <c r="H25" s="13" t="s">
        <v>6</v>
      </c>
      <c r="I25" s="13" t="s">
        <v>6</v>
      </c>
      <c r="J25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/>
  </sheetViews>
  <sheetFormatPr defaultRowHeight="13.5" x14ac:dyDescent="0.15"/>
  <cols>
    <col min="1" max="1" width="4.875" bestFit="1" customWidth="1"/>
    <col min="2" max="2" width="12.875" bestFit="1" customWidth="1"/>
    <col min="3" max="3" width="10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1420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72</v>
      </c>
      <c r="E8" s="19">
        <v>19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117</v>
      </c>
      <c r="C9" s="18" t="s">
        <v>1421</v>
      </c>
      <c r="D9" s="18" t="s">
        <v>163</v>
      </c>
      <c r="E9" s="19">
        <v>16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886</v>
      </c>
      <c r="C10" s="18" t="s">
        <v>1422</v>
      </c>
      <c r="D10" s="18" t="s">
        <v>72</v>
      </c>
      <c r="E10" s="19">
        <v>19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132</v>
      </c>
      <c r="C11" s="18" t="s">
        <v>1423</v>
      </c>
      <c r="D11" s="18" t="s">
        <v>353</v>
      </c>
      <c r="E11" s="19">
        <v>1000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139</v>
      </c>
      <c r="C12" s="18" t="s">
        <v>321</v>
      </c>
      <c r="D12" s="18" t="s">
        <v>72</v>
      </c>
      <c r="E12" s="19">
        <v>19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189</v>
      </c>
      <c r="C13" s="18" t="s">
        <v>190</v>
      </c>
      <c r="D13" s="18" t="s">
        <v>81</v>
      </c>
      <c r="E13" s="19">
        <v>10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127</v>
      </c>
      <c r="C14" s="18" t="s">
        <v>745</v>
      </c>
      <c r="D14" s="18" t="s">
        <v>72</v>
      </c>
      <c r="E14" s="19">
        <v>19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819</v>
      </c>
      <c r="C15" s="18" t="s">
        <v>474</v>
      </c>
      <c r="D15" s="18" t="s">
        <v>163</v>
      </c>
      <c r="E15" s="19">
        <v>16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453</v>
      </c>
      <c r="C16" s="18" t="s">
        <v>1424</v>
      </c>
      <c r="D16" s="18" t="s">
        <v>206</v>
      </c>
      <c r="E16" s="19">
        <v>32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/>
      <c r="C17" s="18"/>
      <c r="D17" s="18"/>
      <c r="E17" s="19"/>
      <c r="F17" s="14"/>
      <c r="G17" s="12"/>
      <c r="H17" s="12"/>
      <c r="I17" s="29"/>
      <c r="J17" s="29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  <row r="21" spans="1:10" x14ac:dyDescent="0.15">
      <c r="A21" s="11" t="s">
        <v>0</v>
      </c>
      <c r="B21" s="11" t="s">
        <v>86</v>
      </c>
      <c r="C21" s="11" t="s">
        <v>87</v>
      </c>
      <c r="D21" s="11" t="s">
        <v>88</v>
      </c>
      <c r="E21" s="11" t="s">
        <v>89</v>
      </c>
      <c r="F21" s="11" t="s">
        <v>90</v>
      </c>
      <c r="G21" s="11" t="s">
        <v>91</v>
      </c>
      <c r="H21" s="11" t="s">
        <v>92</v>
      </c>
      <c r="I21" s="11" t="s">
        <v>93</v>
      </c>
      <c r="J21" s="11" t="s">
        <v>69</v>
      </c>
    </row>
    <row r="22" spans="1:10" x14ac:dyDescent="0.15">
      <c r="A22" s="12">
        <f>ROW(A17)-ROW(A$16)</f>
        <v>1</v>
      </c>
      <c r="B22" s="18"/>
      <c r="C22" s="18"/>
      <c r="D22" s="18"/>
      <c r="E22" s="18"/>
      <c r="F22" s="18"/>
      <c r="G22" s="18"/>
      <c r="H22" s="18"/>
      <c r="I22" s="20"/>
      <c r="J22" s="18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/>
  </sheetViews>
  <sheetFormatPr defaultRowHeight="13.5" x14ac:dyDescent="0.15"/>
  <cols>
    <col min="1" max="1" width="4.875" bestFit="1" customWidth="1"/>
    <col min="2" max="2" width="13.875" bestFit="1" customWidth="1"/>
    <col min="3" max="3" width="32.875" bestFit="1" customWidth="1"/>
    <col min="4" max="4" width="15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1425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1426</v>
      </c>
      <c r="E8" s="19">
        <v>20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1427</v>
      </c>
      <c r="C9" s="18" t="s">
        <v>1428</v>
      </c>
      <c r="D9" s="18" t="s">
        <v>519</v>
      </c>
      <c r="E9" s="19">
        <v>2047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1429</v>
      </c>
      <c r="C10" s="18" t="s">
        <v>1430</v>
      </c>
      <c r="D10" s="18" t="s">
        <v>1431</v>
      </c>
      <c r="E10" s="19">
        <v>11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1432</v>
      </c>
      <c r="C11" s="18" t="s">
        <v>1433</v>
      </c>
      <c r="D11" s="18" t="s">
        <v>1431</v>
      </c>
      <c r="E11" s="19">
        <v>11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512</v>
      </c>
      <c r="C12" s="18" t="s">
        <v>1434</v>
      </c>
      <c r="D12" s="18" t="s">
        <v>81</v>
      </c>
      <c r="E12" s="19">
        <v>10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191</v>
      </c>
      <c r="C13" s="18" t="s">
        <v>404</v>
      </c>
      <c r="D13" s="18" t="s">
        <v>138</v>
      </c>
      <c r="E13" s="19">
        <v>3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453</v>
      </c>
      <c r="C14" s="18" t="s">
        <v>1435</v>
      </c>
      <c r="D14" s="18" t="s">
        <v>1436</v>
      </c>
      <c r="E14" s="19">
        <v>31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769</v>
      </c>
      <c r="C15" s="18" t="s">
        <v>1437</v>
      </c>
      <c r="D15" s="18" t="s">
        <v>138</v>
      </c>
      <c r="E15" s="19">
        <v>3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1438</v>
      </c>
      <c r="C16" s="18" t="s">
        <v>1439</v>
      </c>
      <c r="D16" s="18" t="s">
        <v>138</v>
      </c>
      <c r="E16" s="19">
        <v>3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/>
      <c r="C17" s="18"/>
      <c r="D17" s="18"/>
      <c r="E17" s="19"/>
      <c r="F17" s="14"/>
      <c r="G17" s="12"/>
      <c r="H17" s="12"/>
      <c r="I17" s="29"/>
      <c r="J17" s="29"/>
    </row>
    <row r="18" spans="1:10" x14ac:dyDescent="0.15">
      <c r="A18" s="22" t="s">
        <v>6</v>
      </c>
      <c r="B18" s="22" t="s">
        <v>6</v>
      </c>
      <c r="C18" s="22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</row>
    <row r="21" spans="1:10" x14ac:dyDescent="0.15">
      <c r="A21" s="11" t="s">
        <v>0</v>
      </c>
      <c r="B21" s="11" t="s">
        <v>86</v>
      </c>
      <c r="C21" s="11" t="s">
        <v>87</v>
      </c>
      <c r="D21" s="11" t="s">
        <v>88</v>
      </c>
      <c r="E21" s="11" t="s">
        <v>89</v>
      </c>
      <c r="F21" s="11" t="s">
        <v>90</v>
      </c>
      <c r="G21" s="11" t="s">
        <v>91</v>
      </c>
      <c r="H21" s="11" t="s">
        <v>92</v>
      </c>
      <c r="I21" s="11" t="s">
        <v>93</v>
      </c>
      <c r="J21" s="11" t="s">
        <v>69</v>
      </c>
    </row>
    <row r="22" spans="1:10" x14ac:dyDescent="0.15">
      <c r="A22" s="12">
        <f>ROW(A17)-ROW(A$16)</f>
        <v>1</v>
      </c>
      <c r="B22" s="18"/>
      <c r="C22" s="18"/>
      <c r="D22" s="18"/>
      <c r="E22" s="18"/>
      <c r="F22" s="18"/>
      <c r="G22" s="18"/>
      <c r="H22" s="18"/>
      <c r="I22" s="20"/>
      <c r="J22" s="18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3" width="21.875" bestFit="1" customWidth="1"/>
    <col min="4" max="4" width="13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1440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336</v>
      </c>
      <c r="E8" s="19">
        <v>10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1441</v>
      </c>
      <c r="C9" s="18" t="s">
        <v>1442</v>
      </c>
      <c r="D9" s="18" t="s">
        <v>81</v>
      </c>
      <c r="E9" s="19">
        <v>10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132</v>
      </c>
      <c r="C10" s="18" t="s">
        <v>1443</v>
      </c>
      <c r="D10" s="18" t="s">
        <v>78</v>
      </c>
      <c r="E10" s="19">
        <v>65535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328</v>
      </c>
      <c r="C11" s="18" t="s">
        <v>329</v>
      </c>
      <c r="D11" s="18" t="s">
        <v>330</v>
      </c>
      <c r="E11" s="19">
        <v>31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512</v>
      </c>
      <c r="C12" s="18" t="s">
        <v>1444</v>
      </c>
      <c r="D12" s="18" t="s">
        <v>81</v>
      </c>
      <c r="E12" s="19">
        <v>10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576</v>
      </c>
      <c r="C13" s="18" t="s">
        <v>317</v>
      </c>
      <c r="D13" s="18" t="s">
        <v>1445</v>
      </c>
      <c r="E13" s="19">
        <v>1023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130</v>
      </c>
      <c r="C14" s="18" t="s">
        <v>773</v>
      </c>
      <c r="D14" s="18" t="s">
        <v>438</v>
      </c>
      <c r="E14" s="19">
        <v>127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1446</v>
      </c>
      <c r="C15" s="18" t="s">
        <v>1447</v>
      </c>
      <c r="D15" s="18" t="s">
        <v>1445</v>
      </c>
      <c r="E15" s="19">
        <v>1023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8"/>
  <sheetViews>
    <sheetView workbookViewId="0"/>
  </sheetViews>
  <sheetFormatPr defaultRowHeight="13.5" x14ac:dyDescent="0.15"/>
  <cols>
    <col min="1" max="1" width="4.875" bestFit="1" customWidth="1"/>
    <col min="2" max="3" width="28.875" bestFit="1" customWidth="1"/>
    <col min="4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1448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336</v>
      </c>
      <c r="E8" s="19">
        <v>10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1449</v>
      </c>
      <c r="C9" s="18" t="s">
        <v>1449</v>
      </c>
      <c r="D9" s="18" t="s">
        <v>857</v>
      </c>
      <c r="E9" s="19">
        <v>18</v>
      </c>
      <c r="F9" s="14"/>
      <c r="G9" s="12"/>
      <c r="H9" s="12" t="s">
        <v>15</v>
      </c>
      <c r="I9" s="29"/>
      <c r="J9" s="29"/>
    </row>
    <row r="10" spans="1:10" x14ac:dyDescent="0.15">
      <c r="A10" s="12">
        <f>ROW(A8)-ROW(A$7)</f>
        <v>3</v>
      </c>
      <c r="B10" s="18" t="s">
        <v>1450</v>
      </c>
      <c r="C10" s="18" t="s">
        <v>1450</v>
      </c>
      <c r="D10" s="18" t="s">
        <v>847</v>
      </c>
      <c r="E10" s="19">
        <v>32</v>
      </c>
      <c r="F10" s="14"/>
      <c r="G10" s="12"/>
      <c r="H10" s="12" t="s">
        <v>15</v>
      </c>
      <c r="I10" s="29"/>
      <c r="J10" s="29"/>
    </row>
    <row r="11" spans="1:10" x14ac:dyDescent="0.15">
      <c r="A11" s="12">
        <f>ROW(A8)-ROW(A$7)</f>
        <v>4</v>
      </c>
      <c r="B11" s="18" t="s">
        <v>1451</v>
      </c>
      <c r="C11" s="18" t="s">
        <v>1451</v>
      </c>
      <c r="D11" s="18" t="s">
        <v>847</v>
      </c>
      <c r="E11" s="19">
        <v>32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1452</v>
      </c>
      <c r="C12" s="18" t="s">
        <v>1452</v>
      </c>
      <c r="D12" s="18" t="s">
        <v>1453</v>
      </c>
      <c r="E12" s="19">
        <v>43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1454</v>
      </c>
      <c r="C13" s="18" t="s">
        <v>1454</v>
      </c>
      <c r="D13" s="18" t="s">
        <v>1431</v>
      </c>
      <c r="E13" s="19">
        <v>11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1455</v>
      </c>
      <c r="C14" s="18" t="s">
        <v>1455</v>
      </c>
      <c r="D14" s="18" t="s">
        <v>847</v>
      </c>
      <c r="E14" s="19">
        <v>32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1456</v>
      </c>
      <c r="C15" s="18" t="s">
        <v>1456</v>
      </c>
      <c r="D15" s="18" t="s">
        <v>1320</v>
      </c>
      <c r="E15" s="19">
        <v>11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 t="s">
        <v>1457</v>
      </c>
      <c r="C16" s="18" t="s">
        <v>1457</v>
      </c>
      <c r="D16" s="18" t="s">
        <v>218</v>
      </c>
      <c r="E16" s="19">
        <v>512</v>
      </c>
      <c r="F16" s="14"/>
      <c r="G16" s="12"/>
      <c r="H16" s="12"/>
      <c r="I16" s="29"/>
      <c r="J16" s="29"/>
    </row>
    <row r="17" spans="1:10" x14ac:dyDescent="0.15">
      <c r="A17" s="12">
        <f>ROW(A8)-ROW(A$7)</f>
        <v>10</v>
      </c>
      <c r="B17" s="18" t="s">
        <v>1458</v>
      </c>
      <c r="C17" s="18" t="s">
        <v>1458</v>
      </c>
      <c r="D17" s="18" t="s">
        <v>72</v>
      </c>
      <c r="E17" s="19">
        <v>19</v>
      </c>
      <c r="F17" s="14"/>
      <c r="G17" s="12"/>
      <c r="H17" s="12" t="s">
        <v>15</v>
      </c>
      <c r="I17" s="29" t="s">
        <v>188</v>
      </c>
      <c r="J17" s="29"/>
    </row>
    <row r="18" spans="1:10" x14ac:dyDescent="0.15">
      <c r="A18" s="12">
        <f>ROW(A8)-ROW(A$7)</f>
        <v>11</v>
      </c>
      <c r="B18" s="18" t="s">
        <v>1459</v>
      </c>
      <c r="C18" s="18" t="s">
        <v>1459</v>
      </c>
      <c r="D18" s="18" t="s">
        <v>250</v>
      </c>
      <c r="E18" s="19">
        <v>256</v>
      </c>
      <c r="F18" s="14"/>
      <c r="G18" s="12"/>
      <c r="H18" s="12"/>
      <c r="I18" s="29"/>
      <c r="J18" s="29"/>
    </row>
    <row r="19" spans="1:10" x14ac:dyDescent="0.15">
      <c r="A19" s="12">
        <f>ROW(A8)-ROW(A$7)</f>
        <v>12</v>
      </c>
      <c r="B19" s="18" t="s">
        <v>1460</v>
      </c>
      <c r="C19" s="18" t="s">
        <v>1460</v>
      </c>
      <c r="D19" s="18" t="s">
        <v>72</v>
      </c>
      <c r="E19" s="19">
        <v>19</v>
      </c>
      <c r="F19" s="14"/>
      <c r="G19" s="12"/>
      <c r="H19" s="12" t="s">
        <v>15</v>
      </c>
      <c r="I19" s="29" t="s">
        <v>188</v>
      </c>
      <c r="J19" s="29"/>
    </row>
    <row r="20" spans="1:10" x14ac:dyDescent="0.15">
      <c r="A20" s="12">
        <f>ROW(A8)-ROW(A$7)</f>
        <v>13</v>
      </c>
      <c r="B20" s="18" t="s">
        <v>1461</v>
      </c>
      <c r="C20" s="18" t="s">
        <v>1461</v>
      </c>
      <c r="D20" s="18" t="s">
        <v>250</v>
      </c>
      <c r="E20" s="19">
        <v>256</v>
      </c>
      <c r="F20" s="14"/>
      <c r="G20" s="12"/>
      <c r="H20" s="12"/>
      <c r="I20" s="29"/>
      <c r="J20" s="29"/>
    </row>
    <row r="21" spans="1:10" x14ac:dyDescent="0.15">
      <c r="A21" s="12">
        <f>ROW(A8)-ROW(A$7)</f>
        <v>14</v>
      </c>
      <c r="B21" s="18" t="s">
        <v>1462</v>
      </c>
      <c r="C21" s="18" t="s">
        <v>1462</v>
      </c>
      <c r="D21" s="18" t="s">
        <v>72</v>
      </c>
      <c r="E21" s="19">
        <v>19</v>
      </c>
      <c r="F21" s="14"/>
      <c r="G21" s="12"/>
      <c r="H21" s="12" t="s">
        <v>15</v>
      </c>
      <c r="I21" s="29" t="s">
        <v>188</v>
      </c>
      <c r="J21" s="29"/>
    </row>
    <row r="22" spans="1:10" x14ac:dyDescent="0.15">
      <c r="A22" s="12">
        <f>ROW(A8)-ROW(A$7)</f>
        <v>15</v>
      </c>
      <c r="B22" s="18"/>
      <c r="C22" s="18"/>
      <c r="D22" s="18"/>
      <c r="E22" s="19"/>
      <c r="F22" s="14"/>
      <c r="G22" s="12"/>
      <c r="H22" s="12"/>
      <c r="I22" s="29"/>
      <c r="J22" s="29"/>
    </row>
    <row r="23" spans="1:10" x14ac:dyDescent="0.15">
      <c r="A23" s="22" t="s">
        <v>6</v>
      </c>
      <c r="B23" s="22" t="s">
        <v>6</v>
      </c>
      <c r="C23" s="22" t="s">
        <v>6</v>
      </c>
      <c r="D23" s="13" t="s">
        <v>6</v>
      </c>
      <c r="E23" s="13" t="s">
        <v>6</v>
      </c>
      <c r="F23" s="13" t="s">
        <v>6</v>
      </c>
      <c r="G23" s="13" t="s">
        <v>6</v>
      </c>
      <c r="H23" s="13" t="s">
        <v>6</v>
      </c>
      <c r="I23" s="13" t="s">
        <v>6</v>
      </c>
      <c r="J23" s="13" t="s">
        <v>6</v>
      </c>
    </row>
    <row r="26" spans="1:10" x14ac:dyDescent="0.15">
      <c r="A26" s="11" t="s">
        <v>0</v>
      </c>
      <c r="B26" s="11" t="s">
        <v>86</v>
      </c>
      <c r="C26" s="11" t="s">
        <v>87</v>
      </c>
      <c r="D26" s="11" t="s">
        <v>88</v>
      </c>
      <c r="E26" s="11" t="s">
        <v>89</v>
      </c>
      <c r="F26" s="11" t="s">
        <v>90</v>
      </c>
      <c r="G26" s="11" t="s">
        <v>91</v>
      </c>
      <c r="H26" s="11" t="s">
        <v>92</v>
      </c>
      <c r="I26" s="11" t="s">
        <v>93</v>
      </c>
      <c r="J26" s="11" t="s">
        <v>69</v>
      </c>
    </row>
    <row r="27" spans="1:10" x14ac:dyDescent="0.15">
      <c r="A27" s="12">
        <f>ROW(A17)-ROW(A$16)</f>
        <v>1</v>
      </c>
      <c r="B27" s="18"/>
      <c r="C27" s="18"/>
      <c r="D27" s="18"/>
      <c r="E27" s="18"/>
      <c r="F27" s="18"/>
      <c r="G27" s="18"/>
      <c r="H27" s="18"/>
      <c r="I27" s="20"/>
      <c r="J27" s="18"/>
    </row>
    <row r="28" spans="1:10" x14ac:dyDescent="0.15">
      <c r="A28" s="22" t="s">
        <v>6</v>
      </c>
      <c r="B28" s="22" t="s">
        <v>6</v>
      </c>
      <c r="C28" s="22" t="s">
        <v>6</v>
      </c>
      <c r="D28" s="13" t="s">
        <v>6</v>
      </c>
      <c r="E28" s="13" t="s">
        <v>6</v>
      </c>
      <c r="F28" s="13" t="s">
        <v>6</v>
      </c>
      <c r="G28" s="13" t="s">
        <v>6</v>
      </c>
      <c r="H28" s="13" t="s">
        <v>6</v>
      </c>
      <c r="I28" s="13" t="s">
        <v>6</v>
      </c>
      <c r="J28" s="13" t="s">
        <v>6</v>
      </c>
    </row>
  </sheetData>
  <mergeCells count="1">
    <mergeCell ref="A3:J5"/>
  </mergeCells>
  <phoneticPr fontId="2" type="noConversion"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3.5" x14ac:dyDescent="0.15"/>
  <cols>
    <col min="1" max="1" width="4.875" bestFit="1" customWidth="1"/>
    <col min="2" max="4" width="12.875" bestFit="1" customWidth="1"/>
    <col min="5" max="10" width="8.875" bestFit="1" customWidth="1"/>
  </cols>
  <sheetData>
    <row r="1" spans="1:10" x14ac:dyDescent="0.15">
      <c r="A1" s="21" t="str">
        <f>HYPERLINK(CONCATENATE("#'目录'!E",MATCH(B1,目录!E:E,0)),"返回")</f>
        <v>返回</v>
      </c>
      <c r="B1" s="23" t="s">
        <v>1463</v>
      </c>
      <c r="C1" s="24" t="str">
        <f>INDEX(目录!D:D,MATCH(B1,目录!E:E,0))</f>
        <v/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48" t="s">
        <v>3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x14ac:dyDescent="0.15">
      <c r="A4" s="48"/>
      <c r="B4" s="48"/>
      <c r="C4" s="48"/>
      <c r="D4" s="48"/>
      <c r="E4" s="48"/>
      <c r="F4" s="48"/>
      <c r="G4" s="48"/>
      <c r="H4" s="48"/>
      <c r="I4" s="48"/>
      <c r="J4" s="48"/>
    </row>
    <row r="5" spans="1:10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</row>
    <row r="6" spans="1:10" x14ac:dyDescent="0.15">
      <c r="A6" s="25"/>
      <c r="B6" s="17"/>
      <c r="C6" s="17"/>
      <c r="D6" s="26"/>
      <c r="E6" s="27"/>
    </row>
    <row r="7" spans="1:10" s="28" customFormat="1" ht="12" x14ac:dyDescent="0.15">
      <c r="A7" s="11" t="s">
        <v>0</v>
      </c>
      <c r="B7" s="11" t="s">
        <v>62</v>
      </c>
      <c r="C7" s="11" t="s">
        <v>63</v>
      </c>
      <c r="D7" s="11" t="s">
        <v>64</v>
      </c>
      <c r="E7" s="11" t="s">
        <v>7</v>
      </c>
      <c r="F7" s="11" t="s">
        <v>65</v>
      </c>
      <c r="G7" s="11" t="s">
        <v>66</v>
      </c>
      <c r="H7" s="11" t="s">
        <v>67</v>
      </c>
      <c r="I7" s="11" t="s">
        <v>68</v>
      </c>
      <c r="J7" s="11" t="s">
        <v>69</v>
      </c>
    </row>
    <row r="8" spans="1:10" x14ac:dyDescent="0.15">
      <c r="A8" s="12">
        <f>ROW(A8)-ROW(A$7)</f>
        <v>1</v>
      </c>
      <c r="B8" s="18" t="s">
        <v>70</v>
      </c>
      <c r="C8" s="18" t="s">
        <v>70</v>
      </c>
      <c r="D8" s="18" t="s">
        <v>336</v>
      </c>
      <c r="E8" s="19">
        <v>10</v>
      </c>
      <c r="F8" s="14"/>
      <c r="G8" s="12" t="s">
        <v>15</v>
      </c>
      <c r="H8" s="12" t="s">
        <v>15</v>
      </c>
      <c r="I8" s="29"/>
      <c r="J8" s="29" t="s">
        <v>104</v>
      </c>
    </row>
    <row r="9" spans="1:10" x14ac:dyDescent="0.15">
      <c r="A9" s="12">
        <f>ROW(A8)-ROW(A$7)</f>
        <v>2</v>
      </c>
      <c r="B9" s="18" t="s">
        <v>453</v>
      </c>
      <c r="C9" s="18" t="s">
        <v>1464</v>
      </c>
      <c r="D9" s="18" t="s">
        <v>1465</v>
      </c>
      <c r="E9" s="19">
        <v>15</v>
      </c>
      <c r="F9" s="14"/>
      <c r="G9" s="12"/>
      <c r="H9" s="12"/>
      <c r="I9" s="29"/>
      <c r="J9" s="29"/>
    </row>
    <row r="10" spans="1:10" x14ac:dyDescent="0.15">
      <c r="A10" s="12">
        <f>ROW(A8)-ROW(A$7)</f>
        <v>3</v>
      </c>
      <c r="B10" s="18" t="s">
        <v>1466</v>
      </c>
      <c r="C10" s="18" t="s">
        <v>1467</v>
      </c>
      <c r="D10" s="18" t="s">
        <v>438</v>
      </c>
      <c r="E10" s="19">
        <v>127</v>
      </c>
      <c r="F10" s="14"/>
      <c r="G10" s="12"/>
      <c r="H10" s="12"/>
      <c r="I10" s="29"/>
      <c r="J10" s="29"/>
    </row>
    <row r="11" spans="1:10" x14ac:dyDescent="0.15">
      <c r="A11" s="12">
        <f>ROW(A8)-ROW(A$7)</f>
        <v>4</v>
      </c>
      <c r="B11" s="18" t="s">
        <v>328</v>
      </c>
      <c r="C11" s="18" t="s">
        <v>1468</v>
      </c>
      <c r="D11" s="18" t="s">
        <v>1465</v>
      </c>
      <c r="E11" s="19">
        <v>15</v>
      </c>
      <c r="F11" s="14"/>
      <c r="G11" s="12"/>
      <c r="H11" s="12"/>
      <c r="I11" s="29"/>
      <c r="J11" s="29"/>
    </row>
    <row r="12" spans="1:10" x14ac:dyDescent="0.15">
      <c r="A12" s="12">
        <f>ROW(A8)-ROW(A$7)</f>
        <v>5</v>
      </c>
      <c r="B12" s="18" t="s">
        <v>576</v>
      </c>
      <c r="C12" s="18" t="s">
        <v>1469</v>
      </c>
      <c r="D12" s="18" t="s">
        <v>75</v>
      </c>
      <c r="E12" s="19">
        <v>255</v>
      </c>
      <c r="F12" s="14"/>
      <c r="G12" s="12"/>
      <c r="H12" s="12"/>
      <c r="I12" s="29"/>
      <c r="J12" s="29"/>
    </row>
    <row r="13" spans="1:10" x14ac:dyDescent="0.15">
      <c r="A13" s="12">
        <f>ROW(A8)-ROW(A$7)</f>
        <v>6</v>
      </c>
      <c r="B13" s="18" t="s">
        <v>1470</v>
      </c>
      <c r="C13" s="18" t="s">
        <v>1471</v>
      </c>
      <c r="D13" s="18" t="s">
        <v>81</v>
      </c>
      <c r="E13" s="19">
        <v>10</v>
      </c>
      <c r="F13" s="14"/>
      <c r="G13" s="12"/>
      <c r="H13" s="12"/>
      <c r="I13" s="29"/>
      <c r="J13" s="29"/>
    </row>
    <row r="14" spans="1:10" x14ac:dyDescent="0.15">
      <c r="A14" s="12">
        <f>ROW(A8)-ROW(A$7)</f>
        <v>7</v>
      </c>
      <c r="B14" s="18" t="s">
        <v>512</v>
      </c>
      <c r="C14" s="18" t="s">
        <v>402</v>
      </c>
      <c r="D14" s="18" t="s">
        <v>81</v>
      </c>
      <c r="E14" s="19">
        <v>10</v>
      </c>
      <c r="F14" s="14"/>
      <c r="G14" s="12"/>
      <c r="H14" s="12"/>
      <c r="I14" s="29"/>
      <c r="J14" s="29"/>
    </row>
    <row r="15" spans="1:10" x14ac:dyDescent="0.15">
      <c r="A15" s="12">
        <f>ROW(A8)-ROW(A$7)</f>
        <v>8</v>
      </c>
      <c r="B15" s="18" t="s">
        <v>1441</v>
      </c>
      <c r="C15" s="18" t="s">
        <v>1472</v>
      </c>
      <c r="D15" s="18" t="s">
        <v>81</v>
      </c>
      <c r="E15" s="19">
        <v>10</v>
      </c>
      <c r="F15" s="14"/>
      <c r="G15" s="12"/>
      <c r="H15" s="12"/>
      <c r="I15" s="29"/>
      <c r="J15" s="29"/>
    </row>
    <row r="16" spans="1:10" x14ac:dyDescent="0.15">
      <c r="A16" s="12">
        <f>ROW(A8)-ROW(A$7)</f>
        <v>9</v>
      </c>
      <c r="B16" s="18"/>
      <c r="C16" s="18"/>
      <c r="D16" s="18"/>
      <c r="E16" s="19"/>
      <c r="F16" s="14"/>
      <c r="G16" s="12"/>
      <c r="H16" s="12"/>
      <c r="I16" s="29"/>
      <c r="J16" s="29"/>
    </row>
    <row r="17" spans="1:10" x14ac:dyDescent="0.15">
      <c r="A17" s="22" t="s">
        <v>6</v>
      </c>
      <c r="B17" s="22" t="s">
        <v>6</v>
      </c>
      <c r="C17" s="22" t="s">
        <v>6</v>
      </c>
      <c r="D17" s="13" t="s">
        <v>6</v>
      </c>
      <c r="E17" s="13" t="s">
        <v>6</v>
      </c>
      <c r="F17" s="13" t="s">
        <v>6</v>
      </c>
      <c r="G17" s="13" t="s">
        <v>6</v>
      </c>
      <c r="H17" s="13" t="s">
        <v>6</v>
      </c>
      <c r="I17" s="13" t="s">
        <v>6</v>
      </c>
      <c r="J17" s="13" t="s">
        <v>6</v>
      </c>
    </row>
    <row r="20" spans="1:10" x14ac:dyDescent="0.15">
      <c r="A20" s="11" t="s">
        <v>0</v>
      </c>
      <c r="B20" s="11" t="s">
        <v>86</v>
      </c>
      <c r="C20" s="11" t="s">
        <v>87</v>
      </c>
      <c r="D20" s="11" t="s">
        <v>88</v>
      </c>
      <c r="E20" s="11" t="s">
        <v>89</v>
      </c>
      <c r="F20" s="11" t="s">
        <v>90</v>
      </c>
      <c r="G20" s="11" t="s">
        <v>91</v>
      </c>
      <c r="H20" s="11" t="s">
        <v>92</v>
      </c>
      <c r="I20" s="11" t="s">
        <v>93</v>
      </c>
      <c r="J20" s="11" t="s">
        <v>69</v>
      </c>
    </row>
    <row r="21" spans="1:10" x14ac:dyDescent="0.15">
      <c r="A21" s="12">
        <f>ROW(A17)-ROW(A$16)</f>
        <v>1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6</v>
      </c>
      <c r="B22" s="22" t="s">
        <v>6</v>
      </c>
      <c r="C22" s="22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</row>
  </sheetData>
  <mergeCells count="1">
    <mergeCell ref="A3:J5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123</vt:i4>
      </vt:variant>
    </vt:vector>
  </HeadingPairs>
  <TitlesOfParts>
    <vt:vector size="123" baseType="lpstr">
      <vt:lpstr>变更记录</vt:lpstr>
      <vt:lpstr>目录</vt:lpstr>
      <vt:lpstr>模板</vt:lpstr>
      <vt:lpstr>基准收益率表</vt:lpstr>
      <vt:lpstr>关注组合收益率表</vt:lpstr>
      <vt:lpstr>belong_system_info</vt:lpstr>
      <vt:lpstr>belong_system_info_copy</vt:lpstr>
      <vt:lpstr>calendar</vt:lpstr>
      <vt:lpstr>maintain_icon</vt:lpstr>
      <vt:lpstr>maintain_map</vt:lpstr>
      <vt:lpstr>maintain_notification_data</vt:lpstr>
      <vt:lpstr>maintain_notification_template</vt:lpstr>
      <vt:lpstr>maintain_task_definition</vt:lpstr>
      <vt:lpstr>news_ad</vt:lpstr>
      <vt:lpstr>news_class</vt:lpstr>
      <vt:lpstr>news_comment</vt:lpstr>
      <vt:lpstr>news_image</vt:lpstr>
      <vt:lpstr>news_info</vt:lpstr>
      <vt:lpstr>news_link</vt:lpstr>
      <vt:lpstr>news_slide</vt:lpstr>
      <vt:lpstr>notice_config</vt:lpstr>
      <vt:lpstr>notice_queue</vt:lpstr>
      <vt:lpstr>personal_calendar</vt:lpstr>
      <vt:lpstr>personal_message</vt:lpstr>
      <vt:lpstr>personal_message_content</vt:lpstr>
      <vt:lpstr>sys_auth</vt:lpstr>
      <vt:lpstr>sys_dict</vt:lpstr>
      <vt:lpstr>sys_dict_cftronoc</vt:lpstr>
      <vt:lpstr>sys_dict_cocl</vt:lpstr>
      <vt:lpstr>sys_dict_parent</vt:lpstr>
      <vt:lpstr>sys_dict_region</vt:lpstr>
      <vt:lpstr>sys_dict_trade</vt:lpstr>
      <vt:lpstr>sys_events_class</vt:lpstr>
      <vt:lpstr>sys_feedback</vt:lpstr>
      <vt:lpstr>sys_group</vt:lpstr>
      <vt:lpstr>sys_group_relation</vt:lpstr>
      <vt:lpstr>sys_job</vt:lpstr>
      <vt:lpstr>sys_logs</vt:lpstr>
      <vt:lpstr>sys_organization</vt:lpstr>
      <vt:lpstr>sys_permission</vt:lpstr>
      <vt:lpstr>sys_resource</vt:lpstr>
      <vt:lpstr>sys_role</vt:lpstr>
      <vt:lpstr>sys_role_resource_permission</vt:lpstr>
      <vt:lpstr>sys_settings</vt:lpstr>
      <vt:lpstr>sys_urgent_message</vt:lpstr>
      <vt:lpstr>sys_user</vt:lpstr>
      <vt:lpstr>sys_user_last_online</vt:lpstr>
      <vt:lpstr>sys_user_online</vt:lpstr>
      <vt:lpstr>sys_user_organization_job</vt:lpstr>
      <vt:lpstr>sys_user_status_history</vt:lpstr>
      <vt:lpstr>vt_activity</vt:lpstr>
      <vt:lpstr>vt_activity_coll</vt:lpstr>
      <vt:lpstr>vt_activity_comment</vt:lpstr>
      <vt:lpstr>vt_activity_files</vt:lpstr>
      <vt:lpstr>vt_activity_info</vt:lpstr>
      <vt:lpstr>vt_activity_manage</vt:lpstr>
      <vt:lpstr>vt_activity_maps</vt:lpstr>
      <vt:lpstr>vt_activity_rate</vt:lpstr>
      <vt:lpstr>vt_activity_record</vt:lpstr>
      <vt:lpstr>vt_activity_report</vt:lpstr>
      <vt:lpstr>vt_activity_sign</vt:lpstr>
      <vt:lpstr>vt_activity_signup</vt:lpstr>
      <vt:lpstr>vt_activity_sign_address</vt:lpstr>
      <vt:lpstr>vt_activity_template</vt:lpstr>
      <vt:lpstr>vt_certificate</vt:lpstr>
      <vt:lpstr>vt_check</vt:lpstr>
      <vt:lpstr>vt_commend</vt:lpstr>
      <vt:lpstr>vt_commonweal_project</vt:lpstr>
      <vt:lpstr>vt_complain</vt:lpstr>
      <vt:lpstr>vt_count</vt:lpstr>
      <vt:lpstr>vt_donor_attest</vt:lpstr>
      <vt:lpstr>vt_donor_class</vt:lpstr>
      <vt:lpstr>vt_donor_department</vt:lpstr>
      <vt:lpstr>vt_donor_item</vt:lpstr>
      <vt:lpstr>vt_donor_join</vt:lpstr>
      <vt:lpstr>vt_donor_record</vt:lpstr>
      <vt:lpstr>vt_donor_record_files</vt:lpstr>
      <vt:lpstr>vt_donor_report</vt:lpstr>
      <vt:lpstr>vt_files</vt:lpstr>
      <vt:lpstr>vt_general_comment</vt:lpstr>
      <vt:lpstr>vt_general_voice</vt:lpstr>
      <vt:lpstr>vt_organ</vt:lpstr>
      <vt:lpstr>vt_organ1</vt:lpstr>
      <vt:lpstr>vt_organ_invite</vt:lpstr>
      <vt:lpstr>vt_organ_join</vt:lpstr>
      <vt:lpstr>vt_organ_manage</vt:lpstr>
      <vt:lpstr>vt_pay_log</vt:lpstr>
      <vt:lpstr>vt_project</vt:lpstr>
      <vt:lpstr>vt_project_trends</vt:lpstr>
      <vt:lpstr>vt_questions</vt:lpstr>
      <vt:lpstr>vt_question_logs</vt:lpstr>
      <vt:lpstr>vt_question_option</vt:lpstr>
      <vt:lpstr>vt_rank</vt:lpstr>
      <vt:lpstr>vt_rating_logs</vt:lpstr>
      <vt:lpstr>vt_servicehour</vt:lpstr>
      <vt:lpstr>vt_service_need</vt:lpstr>
      <vt:lpstr>vt_train</vt:lpstr>
      <vt:lpstr>vt_training</vt:lpstr>
      <vt:lpstr>vt_train_join</vt:lpstr>
      <vt:lpstr>vt_train_questions</vt:lpstr>
      <vt:lpstr>vt_train_servicehour</vt:lpstr>
      <vt:lpstr>vt_train_slide</vt:lpstr>
      <vt:lpstr>vt_upvote</vt:lpstr>
      <vt:lpstr>vt_upvote_user</vt:lpstr>
      <vt:lpstr>vt_user_commend</vt:lpstr>
      <vt:lpstr>vt_user_friend</vt:lpstr>
      <vt:lpstr>vt_user_message</vt:lpstr>
      <vt:lpstr>vt_user_news</vt:lpstr>
      <vt:lpstr>vt_user_notice</vt:lpstr>
      <vt:lpstr>vt_user_notice_read</vt:lpstr>
      <vt:lpstr>vt_user_training</vt:lpstr>
      <vt:lpstr>vt_volunteer</vt:lpstr>
      <vt:lpstr>vt_volunteer_change</vt:lpstr>
      <vt:lpstr>vt_volunteer_no</vt:lpstr>
      <vt:lpstr>vt_volunteer_user</vt:lpstr>
      <vt:lpstr>vt_vote_detail</vt:lpstr>
      <vt:lpstr>vt_vote_list</vt:lpstr>
      <vt:lpstr>vt_vote_subject</vt:lpstr>
      <vt:lpstr>vt_wanted</vt:lpstr>
      <vt:lpstr>wx_auto_reply</vt:lpstr>
      <vt:lpstr>wx_auto_reply_content</vt:lpstr>
      <vt:lpstr>wx_config</vt:lpstr>
      <vt:lpstr>wx_menu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2018-02-09T13:10:45Z</dcterms:modified>
</cp:coreProperties>
</file>